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0E0FCACF-199C-4733-989C-B834D4D414CA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TRANSACTIONS" sheetId="2" r:id="rId1"/>
    <sheet name="PROFIT AND LOSS " sheetId="7" r:id="rId2"/>
    <sheet name="BALANCE SHEET " sheetId="6" r:id="rId3"/>
    <sheet name="ASSUMPTIONS" sheetId="5" r:id="rId4"/>
    <sheet name="ABOUT" sheetId="8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7" l="1"/>
  <c r="N26" i="7"/>
  <c r="M26" i="7"/>
  <c r="L26" i="7"/>
  <c r="K26" i="7"/>
  <c r="J26" i="7"/>
  <c r="I26" i="7"/>
  <c r="H26" i="7"/>
  <c r="G26" i="7"/>
  <c r="F26" i="7"/>
  <c r="E26" i="7"/>
  <c r="D26" i="7"/>
  <c r="O12" i="7" a="1"/>
  <c r="O12" i="7" s="1"/>
  <c r="N12" i="7" a="1"/>
  <c r="N12" i="7" s="1"/>
  <c r="M12" i="7" a="1"/>
  <c r="M12" i="7" s="1"/>
  <c r="L12" i="7" a="1"/>
  <c r="L12" i="7" s="1"/>
  <c r="K12" i="7" a="1"/>
  <c r="K12" i="7" s="1"/>
  <c r="J12" i="7" a="1"/>
  <c r="J12" i="7" s="1"/>
  <c r="I12" i="7" a="1"/>
  <c r="I12" i="7" s="1"/>
  <c r="H12" i="7" a="1"/>
  <c r="H12" i="7" s="1"/>
  <c r="G12" i="7" a="1"/>
  <c r="G12" i="7" s="1"/>
  <c r="F12" i="7" a="1"/>
  <c r="F12" i="7" s="1"/>
  <c r="E12" i="7" a="1"/>
  <c r="E12" i="7" s="1"/>
  <c r="D12" i="7" a="1"/>
  <c r="D12" i="7" s="1"/>
  <c r="O7" i="7"/>
  <c r="O14" i="7" s="1"/>
  <c r="O28" i="7" s="1"/>
  <c r="N7" i="7"/>
  <c r="N14" i="7" s="1"/>
  <c r="N28" i="7" s="1"/>
  <c r="M7" i="7"/>
  <c r="M14" i="7" s="1"/>
  <c r="M28" i="7" s="1"/>
  <c r="L7" i="7"/>
  <c r="L14" i="7" s="1"/>
  <c r="L28" i="7" s="1"/>
  <c r="K7" i="7"/>
  <c r="K14" i="7" s="1"/>
  <c r="K28" i="7" s="1"/>
  <c r="J7" i="7"/>
  <c r="J14" i="7" s="1"/>
  <c r="J28" i="7" s="1"/>
  <c r="I7" i="7"/>
  <c r="I14" i="7" s="1"/>
  <c r="I28" i="7" s="1"/>
  <c r="H7" i="7"/>
  <c r="H14" i="7" s="1"/>
  <c r="H28" i="7" s="1"/>
  <c r="G7" i="7"/>
  <c r="G14" i="7" s="1"/>
  <c r="G28" i="7" s="1"/>
  <c r="F7" i="7"/>
  <c r="F14" i="7" s="1"/>
  <c r="F28" i="7" s="1"/>
  <c r="E7" i="7"/>
  <c r="E14" i="7" s="1"/>
  <c r="E28" i="7" s="1"/>
  <c r="D7" i="7"/>
  <c r="D14" i="7" s="1"/>
  <c r="D28" i="7" s="1"/>
  <c r="D42" i="6"/>
  <c r="D37" i="6"/>
  <c r="D32" i="6"/>
  <c r="D24" i="6"/>
  <c r="D14" i="6"/>
  <c r="D8" i="6"/>
  <c r="C27" i="2"/>
  <c r="C28" i="2"/>
  <c r="C29" i="2"/>
  <c r="C26" i="2"/>
  <c r="C21" i="2"/>
  <c r="C22" i="2"/>
  <c r="C23" i="2"/>
  <c r="C24" i="2"/>
  <c r="C25" i="2"/>
  <c r="C17" i="2"/>
  <c r="C18" i="2"/>
  <c r="C19" i="2"/>
  <c r="C20" i="2"/>
  <c r="C12" i="2"/>
  <c r="C13" i="2"/>
  <c r="C14" i="2"/>
  <c r="C15" i="2"/>
  <c r="C16" i="2"/>
  <c r="C7" i="2"/>
  <c r="C8" i="2"/>
  <c r="C9" i="2"/>
  <c r="C10" i="2"/>
  <c r="C11" i="2"/>
  <c r="C6" i="2"/>
  <c r="D26" i="6" l="1"/>
  <c r="D4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<sst xmlns="http://schemas.openxmlformats.org/spreadsheetml/2006/main" count="139" uniqueCount="114">
  <si>
    <t>Pharmacy Private Limited</t>
  </si>
  <si>
    <t>Transactions</t>
  </si>
  <si>
    <t>Category</t>
  </si>
  <si>
    <t>Date</t>
  </si>
  <si>
    <t>Month</t>
  </si>
  <si>
    <t>Amount</t>
  </si>
  <si>
    <t>Description</t>
  </si>
  <si>
    <t>Opening Capital</t>
  </si>
  <si>
    <t>Owner invested capital</t>
  </si>
  <si>
    <t>Purchase Inventory</t>
  </si>
  <si>
    <t>Purchase of medicines from supplier</t>
  </si>
  <si>
    <t>Furniture &amp; Fixture</t>
  </si>
  <si>
    <t>New shelves &amp; counters</t>
  </si>
  <si>
    <t>Rent</t>
  </si>
  <si>
    <t>Shop rent</t>
  </si>
  <si>
    <t>Salary Expenses</t>
  </si>
  <si>
    <t>Staff salaries</t>
  </si>
  <si>
    <t>Sales Income</t>
  </si>
  <si>
    <t>Pharmacy retail sales</t>
  </si>
  <si>
    <t>Stock of medicines</t>
  </si>
  <si>
    <t xml:space="preserve">Electricity </t>
  </si>
  <si>
    <t>Light bill</t>
  </si>
  <si>
    <t>Retail Pharmacy sales</t>
  </si>
  <si>
    <t>Medicines &amp;OTC Items</t>
  </si>
  <si>
    <t>Interest Expenses</t>
  </si>
  <si>
    <t>Boardband bill</t>
  </si>
  <si>
    <t>Loan Received</t>
  </si>
  <si>
    <t>Bank working capital loan</t>
  </si>
  <si>
    <t>Retail sales</t>
  </si>
  <si>
    <t xml:space="preserve">Purchase of medicines </t>
  </si>
  <si>
    <t>Gst paid</t>
  </si>
  <si>
    <t>Gst payment</t>
  </si>
  <si>
    <t>Pharmacy sales</t>
  </si>
  <si>
    <t>Salaries</t>
  </si>
  <si>
    <t>Medicines &amp; cosmetics</t>
  </si>
  <si>
    <t>Advertising</t>
  </si>
  <si>
    <t>Local marketing</t>
  </si>
  <si>
    <t>Profit and Loss</t>
  </si>
  <si>
    <t>Income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</si>
  <si>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</si>
  <si>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</si>
  <si>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</si>
  <si>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</si>
  <si>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</si>
  <si>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</si>
  <si>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</si>
  <si>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</si>
  <si>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</si>
  <si>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</si>
  <si>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</si>
  <si>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</si>
  <si>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</t>
  </si>
  <si>
    <t>Total  Sales</t>
  </si>
  <si>
    <t>Cost of Sales</t>
  </si>
  <si>
    <t xml:space="preserve">Cost of Goods Sold </t>
  </si>
  <si>
    <t>Total Cost of Sales</t>
  </si>
  <si>
    <t>Net Income</t>
  </si>
  <si>
    <t>Expenses</t>
  </si>
  <si>
    <t>Interest</t>
  </si>
  <si>
    <t>Total Expenses</t>
  </si>
  <si>
    <t>Total Profit (Loss)</t>
  </si>
  <si>
    <t>Assets</t>
  </si>
  <si>
    <t>Cash and Cash Equlvalents</t>
  </si>
  <si>
    <t>Checking Accounts</t>
  </si>
  <si>
    <t>Saving Accounts</t>
  </si>
  <si>
    <t>Total Cash</t>
  </si>
  <si>
    <t>Current Assets</t>
  </si>
  <si>
    <t>Accounts Receivable</t>
  </si>
  <si>
    <t>Inventory</t>
  </si>
  <si>
    <t>Prepayments</t>
  </si>
  <si>
    <t>Total Current Assets</t>
  </si>
  <si>
    <t>Property,Plant and Equipment</t>
  </si>
  <si>
    <t>Vehicales</t>
  </si>
  <si>
    <t>Equipment</t>
  </si>
  <si>
    <t>Buildings</t>
  </si>
  <si>
    <t>Land</t>
  </si>
  <si>
    <t>Total Property,Plant and Equipment</t>
  </si>
  <si>
    <t>Total Assets</t>
  </si>
  <si>
    <t>Liabilities and Owner's Equity</t>
  </si>
  <si>
    <t>Owner's Equity</t>
  </si>
  <si>
    <t>Capital account</t>
  </si>
  <si>
    <t>Reserve and Surpluses</t>
  </si>
  <si>
    <t>Total</t>
  </si>
  <si>
    <t>Current Liabilities</t>
  </si>
  <si>
    <t>Accounts Payable</t>
  </si>
  <si>
    <t>Other Current Liabilities</t>
  </si>
  <si>
    <t>Total Current Liabilities</t>
  </si>
  <si>
    <t>Non Current liabilities</t>
  </si>
  <si>
    <t>Long term borrowing</t>
  </si>
  <si>
    <t>Short term borrowing</t>
  </si>
  <si>
    <t>Total Non Current Liabilities</t>
  </si>
  <si>
    <t>Total Liabilities</t>
  </si>
  <si>
    <t>Assumptions</t>
  </si>
  <si>
    <t>The Bussiness is a newly established retail pharmacy that began operations on 1st January 2024.</t>
  </si>
  <si>
    <t>The owner invested ₹ 5,00,000 as opening capital to start the pharmacy.</t>
  </si>
  <si>
    <t>The pharmacy maintains monthly records of sales , purchases , and operating expenses.</t>
  </si>
  <si>
    <t>Inventory purchases are made every month to maintain adequate stock of medicines ,OTC items , and health products.</t>
  </si>
  <si>
    <t>The pharmacy employs 4 staff members , including pharmacists and helpers.</t>
  </si>
  <si>
    <t>Electricity , GST , interest charges , and advertising expenses are consider as normal expenses of pharmacy.</t>
  </si>
  <si>
    <t>FIELD</t>
  </si>
  <si>
    <t>DETAILS</t>
  </si>
  <si>
    <t>AUTHOR</t>
  </si>
  <si>
    <t>RUTUJA  SANTOSH SHANKPALE</t>
  </si>
  <si>
    <t>PROJECT TITLE</t>
  </si>
  <si>
    <t>GUIDED PROJECT: CREATE A FINANCIAL STATEMENT USING MICROSOFT EXCEL</t>
  </si>
  <si>
    <t>COURSE/SOURCE</t>
  </si>
  <si>
    <t>COURSERA</t>
  </si>
  <si>
    <t>INSTRUCTOR</t>
  </si>
  <si>
    <t>PAULA DEL REY</t>
  </si>
  <si>
    <t>CREATED ON</t>
  </si>
  <si>
    <t>CONTACT</t>
  </si>
  <si>
    <t>www.linkedin.com/in/rutujashankpale</t>
  </si>
  <si>
    <t>COPYRIGHT</t>
  </si>
  <si>
    <t>© 2025 RUTUJA SHANKPALE. ORIGINAL WORK.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</si>
</sst>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Calibri"/>
    </font>
    <font>
      <b/>
      <sz val="16"/>
      <color theme="1"/>
      <name val="Calibri"/>
    </font>
    <font>
      <sz val="11"/>
      <color theme="1"/>
      <name val="Calibri"/>
    </font>
    <font>
      <b/>
      <sz val="14"/>
      <color theme="1"/>
      <name val="Calibri"/>
    </font>
    <font>
      <b/>
      <sz val="12"/>
      <color theme="1"/>
      <name val="Calibri"/>
    </font>
    <font>
      <b/>
      <sz val="11.5"/>
      <color theme="1"/>
      <name val="Calibri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6" borderId="13" xfId="0" applyFont="1" applyFill="1" applyBorder="1" applyAlignment="1">
      <alignment wrapText="1"/>
    </xf>
    <xf numFmtId="0" fontId="5" fillId="6" borderId="6" xfId="0" applyFont="1" applyFill="1" applyBorder="1" applyAlignment="1">
      <alignment wrapText="1"/>
    </xf>
    <xf numFmtId="0" fontId="5" fillId="6" borderId="14" xfId="0" applyFont="1" applyFill="1" applyBorder="1" applyAlignment="1">
      <alignment wrapText="1"/>
    </xf>
    <xf numFmtId="0" fontId="5" fillId="6" borderId="4" xfId="0" applyFont="1" applyFill="1" applyBorder="1" applyAlignment="1">
      <alignment wrapText="1"/>
    </xf>
    <xf numFmtId="0" fontId="5" fillId="7" borderId="3" xfId="0" applyFont="1" applyFill="1" applyBorder="1" applyAlignment="1">
      <alignment wrapText="1"/>
    </xf>
    <xf numFmtId="0" fontId="5" fillId="7" borderId="5" xfId="0" applyFont="1" applyFill="1" applyBorder="1" applyAlignment="1">
      <alignment wrapText="1"/>
    </xf>
    <xf numFmtId="0" fontId="5" fillId="6" borderId="15" xfId="0" applyFont="1" applyFill="1" applyBorder="1" applyAlignment="1">
      <alignment wrapText="1"/>
    </xf>
    <xf numFmtId="0" fontId="5" fillId="6" borderId="9" xfId="0" applyFont="1" applyFill="1" applyBorder="1" applyAlignment="1">
      <alignment wrapText="1"/>
    </xf>
    <xf numFmtId="0" fontId="5" fillId="7" borderId="15" xfId="0" applyFont="1" applyFill="1" applyBorder="1" applyAlignment="1">
      <alignment wrapText="1"/>
    </xf>
    <xf numFmtId="0" fontId="5" fillId="7" borderId="9" xfId="0" applyFont="1" applyFill="1" applyBorder="1" applyAlignment="1">
      <alignment wrapText="1"/>
    </xf>
    <xf numFmtId="0" fontId="3" fillId="7" borderId="3" xfId="0" applyFont="1" applyFill="1" applyBorder="1" applyAlignment="1">
      <alignment wrapText="1"/>
    </xf>
    <xf numFmtId="0" fontId="5" fillId="7" borderId="2" xfId="0" applyFont="1" applyFill="1" applyBorder="1" applyAlignment="1">
      <alignment wrapText="1"/>
    </xf>
    <xf numFmtId="0" fontId="4" fillId="0" borderId="1" xfId="0" applyFont="1" applyBorder="1" applyAlignment="1"/>
    <xf numFmtId="0" fontId="5" fillId="3" borderId="13" xfId="0" applyFont="1" applyFill="1" applyBorder="1" applyAlignment="1">
      <alignment wrapText="1"/>
    </xf>
    <xf numFmtId="0" fontId="5" fillId="3" borderId="6" xfId="0" applyFont="1" applyFill="1" applyBorder="1" applyAlignment="1">
      <alignment wrapText="1"/>
    </xf>
    <xf numFmtId="0" fontId="5" fillId="3" borderId="14" xfId="0" applyFont="1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5" fillId="4" borderId="5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5" fillId="5" borderId="2" xfId="0" applyFont="1" applyFill="1" applyBorder="1" applyAlignment="1">
      <alignment wrapText="1"/>
    </xf>
    <xf numFmtId="0" fontId="5" fillId="5" borderId="7" xfId="0" applyFont="1" applyFill="1" applyBorder="1" applyAlignment="1">
      <alignment wrapText="1"/>
    </xf>
    <xf numFmtId="0" fontId="6" fillId="0" borderId="0" xfId="0" applyFont="1"/>
    <xf numFmtId="0" fontId="5" fillId="0" borderId="0" xfId="0" applyFont="1"/>
    <xf numFmtId="0" fontId="7" fillId="0" borderId="1" xfId="0" applyFont="1" applyBorder="1"/>
    <xf numFmtId="0" fontId="5" fillId="0" borderId="1" xfId="0" applyFont="1" applyBorder="1"/>
    <xf numFmtId="0" fontId="5" fillId="0" borderId="0" xfId="0" applyFont="1" applyBorder="1"/>
    <xf numFmtId="0" fontId="5" fillId="2" borderId="3" xfId="0" applyFont="1" applyFill="1" applyBorder="1"/>
    <xf numFmtId="0" fontId="5" fillId="2" borderId="2" xfId="0" applyFont="1" applyFill="1" applyBorder="1"/>
    <xf numFmtId="0" fontId="5" fillId="2" borderId="7" xfId="0" applyFont="1" applyFill="1" applyBorder="1"/>
    <xf numFmtId="0" fontId="3" fillId="0" borderId="0" xfId="0" applyFont="1"/>
    <xf numFmtId="0" fontId="5" fillId="3" borderId="6" xfId="0" applyFont="1" applyFill="1" applyBorder="1"/>
    <xf numFmtId="0" fontId="5" fillId="3" borderId="0" xfId="0" applyFont="1" applyFill="1"/>
    <xf numFmtId="0" fontId="5" fillId="3" borderId="8" xfId="0" applyFont="1" applyFill="1" applyBorder="1"/>
    <xf numFmtId="0" fontId="5" fillId="3" borderId="4" xfId="0" applyFont="1" applyFill="1" applyBorder="1"/>
    <xf numFmtId="0" fontId="5" fillId="3" borderId="0" xfId="0" applyFont="1" applyFill="1" applyAlignment="1">
      <alignment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/>
    <xf numFmtId="0" fontId="8" fillId="4" borderId="9" xfId="0" applyFont="1" applyFill="1" applyBorder="1"/>
    <xf numFmtId="0" fontId="5" fillId="4" borderId="2" xfId="0" applyFont="1" applyFill="1" applyBorder="1"/>
    <xf numFmtId="0" fontId="5" fillId="4" borderId="7" xfId="0" applyFont="1" applyFill="1" applyBorder="1"/>
    <xf numFmtId="0" fontId="5" fillId="3" borderId="10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3" borderId="0" xfId="0" applyFont="1" applyFill="1" applyBorder="1" applyAlignment="1">
      <alignment wrapText="1"/>
    </xf>
    <xf numFmtId="0" fontId="8" fillId="4" borderId="5" xfId="0" applyFont="1" applyFill="1" applyBorder="1" applyAlignment="1">
      <alignment wrapText="1"/>
    </xf>
    <xf numFmtId="0" fontId="5" fillId="4" borderId="2" xfId="0" applyFont="1" applyFill="1" applyBorder="1" applyAlignment="1">
      <alignment wrapText="1"/>
    </xf>
    <xf numFmtId="0" fontId="5" fillId="4" borderId="7" xfId="0" applyFont="1" applyFill="1" applyBorder="1" applyAlignment="1">
      <alignment wrapText="1"/>
    </xf>
    <xf numFmtId="0" fontId="8" fillId="4" borderId="5" xfId="0" applyFont="1" applyFill="1" applyBorder="1"/>
    <xf numFmtId="0" fontId="7" fillId="0" borderId="11" xfId="0" applyFont="1" applyBorder="1"/>
    <xf numFmtId="0" fontId="5" fillId="0" borderId="11" xfId="0" applyFont="1" applyBorder="1"/>
    <xf numFmtId="0" fontId="7" fillId="0" borderId="0" xfId="0" applyFont="1"/>
    <xf numFmtId="0" fontId="5" fillId="3" borderId="10" xfId="0" applyFont="1" applyFill="1" applyBorder="1"/>
    <xf numFmtId="0" fontId="5" fillId="3" borderId="12" xfId="0" applyFont="1" applyFill="1" applyBorder="1"/>
    <xf numFmtId="0" fontId="5" fillId="3" borderId="0" xfId="0" applyFont="1" applyFill="1" applyBorder="1"/>
    <xf numFmtId="0" fontId="6" fillId="5" borderId="3" xfId="0" applyFont="1" applyFill="1" applyBorder="1"/>
    <xf numFmtId="0" fontId="5" fillId="5" borderId="2" xfId="0" applyFont="1" applyFill="1" applyBorder="1"/>
    <xf numFmtId="14" fontId="5" fillId="0" borderId="0" xfId="0" applyNumberFormat="1" applyFont="1"/>
    <xf numFmtId="0" fontId="0" fillId="0" borderId="0" xfId="0" applyBorder="1"/>
    <xf numFmtId="0" fontId="0" fillId="0" borderId="0" xfId="0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/>
    <xf numFmtId="0" fontId="1" fillId="4" borderId="0" xfId="0" applyFont="1" applyFill="1" applyAlignment="1">
      <alignment horizontal="center"/>
    </xf>
    <xf numFmtId="0" fontId="6" fillId="0" borderId="0" xfId="0" applyFont="1" applyBorder="1" applyAlignment="1">
      <alignment horizontal="left"/>
    </xf>
    <xf numFmtId="15" fontId="5" fillId="0" borderId="0" xfId="0" applyNumberFormat="1" applyFont="1" applyAlignment="1">
      <alignment horizontal="left"/>
    </xf>
    <xf numFmtId="0" fontId="10" fillId="0" borderId="0" xfId="1" applyFont="1"/>
  </cellXfs>
  <cellStyles count="2">
    <cellStyle name="Hyperlink" xfId="1" builtinId="8"/>
    <cellStyle name="Normal" xfId="0" builtinId="0"/>
  </cellStyles>
  <dxfs count="6"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  <numFmt numFmtId="164" formatCode="m/d/yyyy"/>
    </dxf>
    <dxf>
      <font>
        <name val="Calibri"/>
      </font>
    </dxf>
    <dxf>
      <font>
        <name val="Calibri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6BDCF-44A8-4B90-B48C-B1B11A0B6B10}" name="Table1" displayName="Table1" ref="A5:E29" totalsRowShown="0" dataDxfId="5">
  <autoFilter ref="A5:E29" xr:uid="{1296BDCF-44A8-4B90-B48C-B1B11A0B6B10}"/>
  <tableColumns count="5">
    <tableColumn id="1" xr3:uid="{AFC67C0E-7255-4824-A448-0F81881EA8E7}" name="Category" dataDxfId="4"/>
    <tableColumn id="2" xr3:uid="{A61A62A1-9ED6-4D4B-B679-2753775C8A8C}" name="Date" dataDxfId="3"/>
    <tableColumn id="3" xr3:uid="{E1E339B5-9471-41B2-BC6A-462BC72D8C8A}" name="Month" dataDxfId="2">
      <calculatedColumnFormula>TEXT(B6,"mmm")</calculatedColumnFormula>
    </tableColumn>
    <tableColumn id="4" xr3:uid="{840906E6-7E08-4569-B3DA-6609BD44C252}" name="Amount" dataDxfId="1"/>
    <tableColumn id="5" xr3:uid="{01D47B5E-8289-4069-B75F-818456A757F3}" name="Description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rutujashankpa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33B1A-89D8-41EB-8A24-DB14BF466D73}">
  <dimension ref="A1:E29"/>
  <sheetViews>
    <sheetView workbookViewId="0">
      <selection activeCell="B6" sqref="B6"/>
    </sheetView>
  </sheetViews>
  <sheetFormatPr defaultRowHeight="15"/>
  <cols>
    <col min="1" max="1" width="19" customWidth="1"/>
    <col min="2" max="2" width="12.42578125" customWidth="1"/>
    <col min="4" max="4" width="10.140625" bestFit="1" customWidth="1"/>
    <col min="5" max="5" width="32" bestFit="1" customWidth="1"/>
  </cols>
  <sheetData>
    <row r="1" spans="1:5" ht="18.75">
      <c r="A1" s="66" t="s">
        <v>0</v>
      </c>
      <c r="B1" s="66"/>
      <c r="C1" s="66"/>
      <c r="D1" s="66"/>
      <c r="E1" s="66"/>
    </row>
    <row r="3" spans="1:5" ht="21">
      <c r="A3" s="1" t="s">
        <v>1</v>
      </c>
    </row>
    <row r="5" spans="1:5">
      <c r="A5" t="s">
        <v>2</v>
      </c>
      <c r="B5" t="s">
        <v>3</v>
      </c>
      <c r="C5" t="s">
        <v>4</v>
      </c>
      <c r="D5" t="s">
        <v>5</v>
      </c>
      <c r="E5" t="s">
        <v>6</v>
      </c>
    </row>
    <row r="6" spans="1:5">
      <c r="A6" s="28" t="s">
        <v>7</v>
      </c>
      <c r="B6" s="61">
        <v>45292</v>
      </c>
      <c r="C6" s="28" t="str">
        <f>TEXT(B6,"mmm")</f>
        <v>Jan</v>
      </c>
      <c r="D6" s="28">
        <v>500000</v>
      </c>
      <c r="E6" s="28" t="s">
        <v>8</v>
      </c>
    </row>
    <row r="7" spans="1:5">
      <c r="A7" s="28" t="s">
        <v>9</v>
      </c>
      <c r="B7" s="61">
        <v>45294</v>
      </c>
      <c r="C7" s="28" t="str">
        <f t="shared" ref="C7:C29" si="0">TEXT(B7,"mmm")</f>
        <v>Jan</v>
      </c>
      <c r="D7" s="28">
        <v>-85000</v>
      </c>
      <c r="E7" s="28" t="s">
        <v>10</v>
      </c>
    </row>
    <row r="8" spans="1:5">
      <c r="A8" s="28" t="s">
        <v>11</v>
      </c>
      <c r="B8" s="61">
        <v>45296</v>
      </c>
      <c r="C8" s="28" t="str">
        <f t="shared" si="0"/>
        <v>Jan</v>
      </c>
      <c r="D8" s="28">
        <v>-45000</v>
      </c>
      <c r="E8" s="28" t="s">
        <v>12</v>
      </c>
    </row>
    <row r="9" spans="1:5">
      <c r="A9" s="28" t="s">
        <v>13</v>
      </c>
      <c r="B9" s="61">
        <v>45298</v>
      </c>
      <c r="C9" s="28" t="str">
        <f t="shared" si="0"/>
        <v>Jan</v>
      </c>
      <c r="D9" s="28">
        <v>-20000</v>
      </c>
      <c r="E9" s="28" t="s">
        <v>14</v>
      </c>
    </row>
    <row r="10" spans="1:5">
      <c r="A10" s="28" t="s">
        <v>15</v>
      </c>
      <c r="B10" s="61">
        <v>45322</v>
      </c>
      <c r="C10" s="28" t="str">
        <f t="shared" si="0"/>
        <v>Jan</v>
      </c>
      <c r="D10" s="28">
        <v>-30000</v>
      </c>
      <c r="E10" s="28" t="s">
        <v>16</v>
      </c>
    </row>
    <row r="11" spans="1:5">
      <c r="A11" s="28" t="s">
        <v>17</v>
      </c>
      <c r="B11" s="61">
        <v>45322</v>
      </c>
      <c r="C11" s="28" t="str">
        <f t="shared" si="0"/>
        <v>Jan</v>
      </c>
      <c r="D11" s="28">
        <v>150000</v>
      </c>
      <c r="E11" s="28" t="s">
        <v>18</v>
      </c>
    </row>
    <row r="12" spans="1:5">
      <c r="A12" s="28" t="s">
        <v>9</v>
      </c>
      <c r="B12" s="61">
        <v>45324</v>
      </c>
      <c r="C12" s="28" t="str">
        <f t="shared" si="0"/>
        <v>Feb</v>
      </c>
      <c r="D12" s="28">
        <v>-90000</v>
      </c>
      <c r="E12" s="28" t="s">
        <v>19</v>
      </c>
    </row>
    <row r="13" spans="1:5">
      <c r="A13" s="28" t="s">
        <v>20</v>
      </c>
      <c r="B13" s="61">
        <v>45332</v>
      </c>
      <c r="C13" s="28" t="str">
        <f t="shared" si="0"/>
        <v>Feb</v>
      </c>
      <c r="D13" s="28">
        <v>-3200</v>
      </c>
      <c r="E13" s="28" t="s">
        <v>21</v>
      </c>
    </row>
    <row r="14" spans="1:5">
      <c r="A14" s="28" t="s">
        <v>17</v>
      </c>
      <c r="B14" s="61">
        <v>45350</v>
      </c>
      <c r="C14" s="28" t="str">
        <f t="shared" si="0"/>
        <v>Feb</v>
      </c>
      <c r="D14" s="28">
        <v>165000</v>
      </c>
      <c r="E14" s="28" t="s">
        <v>22</v>
      </c>
    </row>
    <row r="15" spans="1:5">
      <c r="A15" s="28" t="s">
        <v>15</v>
      </c>
      <c r="B15" s="61">
        <v>45350</v>
      </c>
      <c r="C15" s="28" t="str">
        <f t="shared" si="0"/>
        <v>Feb</v>
      </c>
      <c r="D15" s="28">
        <v>-35000</v>
      </c>
      <c r="E15" s="28" t="s">
        <v>16</v>
      </c>
    </row>
    <row r="16" spans="1:5">
      <c r="A16" s="28" t="s">
        <v>9</v>
      </c>
      <c r="B16" s="61">
        <v>45352</v>
      </c>
      <c r="C16" s="28" t="str">
        <f t="shared" si="0"/>
        <v>Mar</v>
      </c>
      <c r="D16" s="28">
        <v>-95000</v>
      </c>
      <c r="E16" s="28" t="s">
        <v>23</v>
      </c>
    </row>
    <row r="17" spans="1:5">
      <c r="A17" s="28" t="s">
        <v>24</v>
      </c>
      <c r="B17" s="61">
        <v>45356</v>
      </c>
      <c r="C17" s="28" t="str">
        <f t="shared" si="0"/>
        <v>Mar</v>
      </c>
      <c r="D17" s="28">
        <v>-1500</v>
      </c>
      <c r="E17" s="28" t="s">
        <v>25</v>
      </c>
    </row>
    <row r="18" spans="1:5">
      <c r="A18" s="28" t="s">
        <v>26</v>
      </c>
      <c r="B18" s="61">
        <v>45361</v>
      </c>
      <c r="C18" s="28" t="str">
        <f t="shared" si="0"/>
        <v>Mar</v>
      </c>
      <c r="D18" s="28">
        <v>200000</v>
      </c>
      <c r="E18" s="28" t="s">
        <v>27</v>
      </c>
    </row>
    <row r="19" spans="1:5">
      <c r="A19" s="28" t="s">
        <v>17</v>
      </c>
      <c r="B19" s="61">
        <v>45382</v>
      </c>
      <c r="C19" s="28" t="str">
        <f t="shared" si="0"/>
        <v>Mar</v>
      </c>
      <c r="D19" s="28">
        <v>180000</v>
      </c>
      <c r="E19" s="28" t="s">
        <v>28</v>
      </c>
    </row>
    <row r="20" spans="1:5">
      <c r="A20" s="28" t="s">
        <v>15</v>
      </c>
      <c r="B20" s="61">
        <v>45382</v>
      </c>
      <c r="C20" s="28" t="str">
        <f t="shared" si="0"/>
        <v>Mar</v>
      </c>
      <c r="D20" s="28">
        <v>-30000</v>
      </c>
      <c r="E20" s="28" t="s">
        <v>16</v>
      </c>
    </row>
    <row r="21" spans="1:5">
      <c r="A21" s="28" t="s">
        <v>9</v>
      </c>
      <c r="B21" s="61">
        <v>45385</v>
      </c>
      <c r="C21" s="28" t="str">
        <f t="shared" si="0"/>
        <v>Apr</v>
      </c>
      <c r="D21" s="28">
        <v>-100000</v>
      </c>
      <c r="E21" s="28" t="s">
        <v>29</v>
      </c>
    </row>
    <row r="22" spans="1:5">
      <c r="A22" s="28" t="s">
        <v>13</v>
      </c>
      <c r="B22" s="61">
        <v>45387</v>
      </c>
      <c r="C22" s="28" t="str">
        <f t="shared" si="0"/>
        <v>Apr</v>
      </c>
      <c r="D22" s="28">
        <v>-20000</v>
      </c>
      <c r="E22" s="28" t="s">
        <v>14</v>
      </c>
    </row>
    <row r="23" spans="1:5">
      <c r="A23" s="28" t="s">
        <v>30</v>
      </c>
      <c r="B23" s="61">
        <v>45392</v>
      </c>
      <c r="C23" s="28" t="str">
        <f t="shared" si="0"/>
        <v>Apr</v>
      </c>
      <c r="D23" s="28">
        <v>-12500</v>
      </c>
      <c r="E23" s="28" t="s">
        <v>31</v>
      </c>
    </row>
    <row r="24" spans="1:5">
      <c r="A24" s="28" t="s">
        <v>17</v>
      </c>
      <c r="B24" s="61">
        <v>45412</v>
      </c>
      <c r="C24" s="28" t="str">
        <f t="shared" si="0"/>
        <v>Apr</v>
      </c>
      <c r="D24" s="28">
        <v>190000</v>
      </c>
      <c r="E24" s="28" t="s">
        <v>32</v>
      </c>
    </row>
    <row r="25" spans="1:5">
      <c r="A25" s="28" t="s">
        <v>15</v>
      </c>
      <c r="B25" s="61">
        <v>45412</v>
      </c>
      <c r="C25" s="28" t="str">
        <f t="shared" si="0"/>
        <v>Apr</v>
      </c>
      <c r="D25" s="28">
        <v>-32000</v>
      </c>
      <c r="E25" s="28" t="s">
        <v>33</v>
      </c>
    </row>
    <row r="26" spans="1:5">
      <c r="A26" s="28" t="s">
        <v>9</v>
      </c>
      <c r="B26" s="61">
        <v>45416</v>
      </c>
      <c r="C26" s="28" t="str">
        <f t="shared" si="0"/>
        <v>May</v>
      </c>
      <c r="D26" s="28">
        <v>-85000</v>
      </c>
      <c r="E26" s="28" t="s">
        <v>34</v>
      </c>
    </row>
    <row r="27" spans="1:5">
      <c r="A27" s="28" t="s">
        <v>35</v>
      </c>
      <c r="B27" s="61">
        <v>45422</v>
      </c>
      <c r="C27" s="28" t="str">
        <f t="shared" si="0"/>
        <v>May</v>
      </c>
      <c r="D27" s="28">
        <v>-5000</v>
      </c>
      <c r="E27" s="28" t="s">
        <v>36</v>
      </c>
    </row>
    <row r="28" spans="1:5">
      <c r="A28" s="28" t="s">
        <v>17</v>
      </c>
      <c r="B28" s="61">
        <v>45442</v>
      </c>
      <c r="C28" s="28" t="str">
        <f t="shared" si="0"/>
        <v>May</v>
      </c>
      <c r="D28" s="28">
        <v>200000</v>
      </c>
      <c r="E28" s="28" t="s">
        <v>28</v>
      </c>
    </row>
    <row r="29" spans="1:5">
      <c r="A29" s="28" t="s">
        <v>15</v>
      </c>
      <c r="B29" s="61">
        <v>45442</v>
      </c>
      <c r="C29" s="28" t="str">
        <f t="shared" si="0"/>
        <v>May</v>
      </c>
      <c r="D29" s="28">
        <v>-32000</v>
      </c>
      <c r="E29" s="28" t="s">
        <v>16</v>
      </c>
    </row>
  </sheetData>
  <sheetProtection sheet="1" objects="1" scenarios="1"/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9E58D-C749-4E27-B67C-CD1C89EDA827}">
  <dimension ref="A1:O28"/>
  <sheetViews>
    <sheetView topLeftCell="A19" workbookViewId="0">
      <selection activeCell="B33" sqref="B33"/>
    </sheetView>
  </sheetViews>
  <sheetFormatPr defaultRowHeight="20.25" customHeight="1"/>
  <cols>
    <col min="1" max="1" width="13.28515625" customWidth="1"/>
    <col min="2" max="2" width="15.140625" customWidth="1"/>
    <col min="3" max="3" width="26.28515625" customWidth="1"/>
  </cols>
  <sheetData>
    <row r="1" spans="1:15" ht="20.25" customHeight="1">
      <c r="A1" s="27" t="s">
        <v>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20.25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ht="20.25" customHeight="1">
      <c r="A3" s="29" t="s">
        <v>38</v>
      </c>
      <c r="B3" s="30"/>
      <c r="C3" s="31"/>
      <c r="D3" s="32" t="s">
        <v>39</v>
      </c>
      <c r="E3" s="33" t="s">
        <v>40</v>
      </c>
      <c r="F3" s="33" t="s">
        <v>41</v>
      </c>
      <c r="G3" s="33" t="s">
        <v>42</v>
      </c>
      <c r="H3" s="33" t="s">
        <v>43</v>
      </c>
      <c r="I3" s="33" t="s">
        <v>44</v>
      </c>
      <c r="J3" s="33" t="s">
        <v>45</v>
      </c>
      <c r="K3" s="33" t="s">
        <v>46</v>
      </c>
      <c r="L3" s="33" t="s">
        <v>47</v>
      </c>
      <c r="M3" s="33" t="s">
        <v>48</v>
      </c>
      <c r="N3" s="33" t="s">
        <v>49</v>
      </c>
      <c r="O3" s="34" t="s">
        <v>50</v>
      </c>
    </row>
    <row r="4" spans="1:15" ht="20.25" customHeight="1">
      <c r="A4" s="28"/>
      <c r="B4" s="35" t="s">
        <v>51</v>
      </c>
      <c r="C4" s="36" t="s">
        <v>18</v>
      </c>
      <c r="D4" s="37">
        <v>150000</v>
      </c>
      <c r="E4" s="37">
        <v>165000</v>
      </c>
      <c r="F4" s="37">
        <v>180000</v>
      </c>
      <c r="G4" s="37">
        <v>190000</v>
      </c>
      <c r="H4" s="37">
        <v>200000</v>
      </c>
      <c r="I4" s="37">
        <v>0</v>
      </c>
      <c r="J4" s="37">
        <v>0</v>
      </c>
      <c r="K4" s="37">
        <v>0</v>
      </c>
      <c r="L4" s="37">
        <v>0</v>
      </c>
      <c r="M4" s="37">
        <v>0</v>
      </c>
      <c r="N4" s="37">
        <v>0</v>
      </c>
      <c r="O4" s="38">
        <v>0</v>
      </c>
    </row>
    <row r="5" spans="1:15" ht="20.25" customHeight="1">
      <c r="A5" s="28"/>
      <c r="B5" s="28"/>
      <c r="C5" s="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1"/>
    </row>
    <row r="6" spans="1:15" ht="20.25" customHeight="1">
      <c r="A6" s="28"/>
      <c r="B6" s="28"/>
      <c r="C6" s="42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1"/>
    </row>
    <row r="7" spans="1:15" ht="20.25" customHeight="1">
      <c r="A7" s="28"/>
      <c r="B7" s="28"/>
      <c r="C7" s="43" t="s">
        <v>52</v>
      </c>
      <c r="D7" s="44">
        <f>SUM(D4:D6)</f>
        <v>150000</v>
      </c>
      <c r="E7" s="44">
        <f t="shared" ref="E7:O7" si="0">SUM(E4:E6)</f>
        <v>165000</v>
      </c>
      <c r="F7" s="44">
        <f t="shared" si="0"/>
        <v>180000</v>
      </c>
      <c r="G7" s="44">
        <f t="shared" si="0"/>
        <v>190000</v>
      </c>
      <c r="H7" s="44">
        <f t="shared" si="0"/>
        <v>200000</v>
      </c>
      <c r="I7" s="44">
        <f t="shared" si="0"/>
        <v>0</v>
      </c>
      <c r="J7" s="44">
        <f t="shared" si="0"/>
        <v>0</v>
      </c>
      <c r="K7" s="44">
        <f t="shared" si="0"/>
        <v>0</v>
      </c>
      <c r="L7" s="44">
        <f t="shared" si="0"/>
        <v>0</v>
      </c>
      <c r="M7" s="44">
        <f t="shared" si="0"/>
        <v>0</v>
      </c>
      <c r="N7" s="44">
        <f t="shared" si="0"/>
        <v>0</v>
      </c>
      <c r="O7" s="45">
        <f t="shared" si="0"/>
        <v>0</v>
      </c>
    </row>
    <row r="8" spans="1:15" ht="20.2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1:15" ht="20.2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1:15" ht="20.25" customHeight="1">
      <c r="A10" s="28"/>
      <c r="B10" s="35" t="s">
        <v>53</v>
      </c>
      <c r="C10" s="19" t="s">
        <v>54</v>
      </c>
      <c r="D10" s="46">
        <v>-85000</v>
      </c>
      <c r="E10" s="46">
        <v>-90000</v>
      </c>
      <c r="F10" s="46">
        <v>-95000</v>
      </c>
      <c r="G10" s="46">
        <v>-100000</v>
      </c>
      <c r="H10" s="46">
        <v>-85000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7">
        <v>0</v>
      </c>
    </row>
    <row r="11" spans="1:15" ht="20.25" customHeight="1">
      <c r="A11" s="28"/>
      <c r="B11" s="28"/>
      <c r="C11" s="21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1"/>
    </row>
    <row r="12" spans="1:15" ht="20.25" customHeight="1">
      <c r="A12" s="28"/>
      <c r="B12" s="28"/>
      <c r="C12" s="49" t="s">
        <v>55</v>
      </c>
      <c r="D12" s="50" cm="1">
        <f t="array" ref="D12">SUM(-D10:D11)</f>
        <v>85000</v>
      </c>
      <c r="E12" s="50" cm="1">
        <f t="array" ref="E12">SUM(-E10:E11)</f>
        <v>90000</v>
      </c>
      <c r="F12" s="50" cm="1">
        <f t="array" ref="F12">SUM(-F10:F11)</f>
        <v>95000</v>
      </c>
      <c r="G12" s="50" cm="1">
        <f t="array" ref="G12">SUM(-G10:G11)</f>
        <v>100000</v>
      </c>
      <c r="H12" s="50" cm="1">
        <f t="array" ref="H12">SUM(-H10:H11)</f>
        <v>85000</v>
      </c>
      <c r="I12" s="50" cm="1">
        <f t="array" ref="I12">SUM(-I10:I11)</f>
        <v>0</v>
      </c>
      <c r="J12" s="50" cm="1">
        <f t="array" ref="J12">SUM(-J10:J11)</f>
        <v>0</v>
      </c>
      <c r="K12" s="50" cm="1">
        <f t="array" ref="K12">SUM(-K10:K11)</f>
        <v>0</v>
      </c>
      <c r="L12" s="50" cm="1">
        <f t="array" ref="L12">SUM(-L10:L11)</f>
        <v>0</v>
      </c>
      <c r="M12" s="50" cm="1">
        <f t="array" ref="M12">SUM(-M10:M11)</f>
        <v>0</v>
      </c>
      <c r="N12" s="50" cm="1">
        <f t="array" ref="N12">SUM(-N10:N11)</f>
        <v>0</v>
      </c>
      <c r="O12" s="51" cm="1">
        <f t="array" ref="O12">SUM(-O10:O11)</f>
        <v>0</v>
      </c>
    </row>
    <row r="13" spans="1:15" ht="20.2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31"/>
    </row>
    <row r="14" spans="1:15" ht="20.25" customHeight="1">
      <c r="A14" s="28"/>
      <c r="B14" s="28"/>
      <c r="C14" s="52" t="s">
        <v>56</v>
      </c>
      <c r="D14" s="44">
        <f>D7-D12</f>
        <v>65000</v>
      </c>
      <c r="E14" s="44">
        <f t="shared" ref="E14:O14" si="1">E7-E12</f>
        <v>75000</v>
      </c>
      <c r="F14" s="44">
        <f t="shared" si="1"/>
        <v>85000</v>
      </c>
      <c r="G14" s="44">
        <f t="shared" si="1"/>
        <v>90000</v>
      </c>
      <c r="H14" s="44">
        <f t="shared" si="1"/>
        <v>115000</v>
      </c>
      <c r="I14" s="44">
        <f t="shared" si="1"/>
        <v>0</v>
      </c>
      <c r="J14" s="44">
        <f t="shared" si="1"/>
        <v>0</v>
      </c>
      <c r="K14" s="44">
        <f t="shared" si="1"/>
        <v>0</v>
      </c>
      <c r="L14" s="44">
        <f t="shared" si="1"/>
        <v>0</v>
      </c>
      <c r="M14" s="44">
        <f t="shared" si="1"/>
        <v>0</v>
      </c>
      <c r="N14" s="44">
        <f t="shared" si="1"/>
        <v>0</v>
      </c>
      <c r="O14" s="45">
        <f t="shared" si="1"/>
        <v>0</v>
      </c>
    </row>
    <row r="15" spans="1:15" ht="20.2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</row>
    <row r="16" spans="1:15" ht="20.2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</row>
    <row r="17" spans="1:15" ht="20.25" customHeight="1">
      <c r="A17" s="53" t="s">
        <v>57</v>
      </c>
      <c r="B17" s="54"/>
      <c r="C17" s="31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</row>
    <row r="18" spans="1:15" ht="20.25" customHeight="1">
      <c r="A18" s="55"/>
      <c r="B18" s="28"/>
      <c r="C18" s="36" t="s">
        <v>33</v>
      </c>
      <c r="D18" s="56">
        <v>30000</v>
      </c>
      <c r="E18" s="56">
        <v>35000</v>
      </c>
      <c r="F18" s="56">
        <v>30000</v>
      </c>
      <c r="G18" s="56">
        <v>32000</v>
      </c>
      <c r="H18" s="56">
        <v>32000</v>
      </c>
      <c r="I18" s="56">
        <v>0</v>
      </c>
      <c r="J18" s="56">
        <v>0</v>
      </c>
      <c r="K18" s="56">
        <v>0</v>
      </c>
      <c r="L18" s="56">
        <v>0</v>
      </c>
      <c r="M18" s="56">
        <v>0</v>
      </c>
      <c r="N18" s="56">
        <v>0</v>
      </c>
      <c r="O18" s="57">
        <v>0</v>
      </c>
    </row>
    <row r="19" spans="1:15" ht="20.25" customHeight="1">
      <c r="A19" s="28"/>
      <c r="B19" s="28"/>
      <c r="C19" s="39" t="s">
        <v>35</v>
      </c>
      <c r="D19" s="58">
        <v>0</v>
      </c>
      <c r="E19" s="58">
        <v>0</v>
      </c>
      <c r="F19" s="58">
        <v>0</v>
      </c>
      <c r="G19" s="58">
        <v>0</v>
      </c>
      <c r="H19" s="58">
        <v>5000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38">
        <v>0</v>
      </c>
    </row>
    <row r="20" spans="1:15" ht="20.25" customHeight="1">
      <c r="A20" s="28"/>
      <c r="B20" s="28"/>
      <c r="C20" s="39" t="s">
        <v>13</v>
      </c>
      <c r="D20" s="58">
        <v>20000</v>
      </c>
      <c r="E20" s="58">
        <v>0</v>
      </c>
      <c r="F20" s="58">
        <v>0</v>
      </c>
      <c r="G20" s="58">
        <v>20000</v>
      </c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38">
        <v>0</v>
      </c>
    </row>
    <row r="21" spans="1:15" ht="20.25" customHeight="1">
      <c r="A21" s="28"/>
      <c r="B21" s="28"/>
      <c r="C21" s="39" t="s">
        <v>20</v>
      </c>
      <c r="D21" s="58">
        <v>0</v>
      </c>
      <c r="E21" s="58">
        <v>3200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38">
        <v>0</v>
      </c>
    </row>
    <row r="22" spans="1:15" ht="20.25" customHeight="1">
      <c r="A22" s="28"/>
      <c r="B22" s="28"/>
      <c r="C22" s="39" t="s">
        <v>30</v>
      </c>
      <c r="D22" s="58">
        <v>0</v>
      </c>
      <c r="E22" s="58">
        <v>0</v>
      </c>
      <c r="F22" s="58">
        <v>0</v>
      </c>
      <c r="G22" s="58">
        <v>12500</v>
      </c>
      <c r="H22" s="58">
        <v>0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38">
        <v>0</v>
      </c>
    </row>
    <row r="23" spans="1:15" ht="20.25" customHeight="1">
      <c r="A23" s="28"/>
      <c r="B23" s="28"/>
      <c r="C23" s="39" t="s">
        <v>58</v>
      </c>
      <c r="D23" s="58">
        <v>0</v>
      </c>
      <c r="E23" s="58">
        <v>0</v>
      </c>
      <c r="F23" s="58">
        <v>1500</v>
      </c>
      <c r="G23" s="58">
        <v>0</v>
      </c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38">
        <v>0</v>
      </c>
    </row>
    <row r="24" spans="1:15" ht="20.25" customHeight="1">
      <c r="A24" s="28"/>
      <c r="B24" s="28"/>
      <c r="C24" s="39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38"/>
    </row>
    <row r="25" spans="1:15" ht="20.25" customHeight="1">
      <c r="A25" s="28"/>
      <c r="B25" s="28"/>
      <c r="C25" s="39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38"/>
    </row>
    <row r="26" spans="1:15" ht="20.25" customHeight="1">
      <c r="A26" s="28"/>
      <c r="B26" s="28"/>
      <c r="C26" s="52" t="s">
        <v>59</v>
      </c>
      <c r="D26" s="44">
        <f>SUM(D18:D25)</f>
        <v>50000</v>
      </c>
      <c r="E26" s="44">
        <f t="shared" ref="E26:O26" si="2">SUM(E18:E25)</f>
        <v>38200</v>
      </c>
      <c r="F26" s="44">
        <f t="shared" si="2"/>
        <v>31500</v>
      </c>
      <c r="G26" s="44">
        <f t="shared" si="2"/>
        <v>64500</v>
      </c>
      <c r="H26" s="44">
        <f t="shared" si="2"/>
        <v>37000</v>
      </c>
      <c r="I26" s="44">
        <f t="shared" si="2"/>
        <v>0</v>
      </c>
      <c r="J26" s="44">
        <f t="shared" si="2"/>
        <v>0</v>
      </c>
      <c r="K26" s="44">
        <f t="shared" si="2"/>
        <v>0</v>
      </c>
      <c r="L26" s="44">
        <f t="shared" si="2"/>
        <v>0</v>
      </c>
      <c r="M26" s="44">
        <f t="shared" si="2"/>
        <v>0</v>
      </c>
      <c r="N26" s="44">
        <f t="shared" si="2"/>
        <v>0</v>
      </c>
      <c r="O26" s="44">
        <f t="shared" si="2"/>
        <v>0</v>
      </c>
    </row>
    <row r="27" spans="1:15" ht="20.2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</row>
    <row r="28" spans="1:15" ht="20.25" customHeight="1">
      <c r="A28" s="28"/>
      <c r="B28" s="28"/>
      <c r="C28" s="59" t="s">
        <v>60</v>
      </c>
      <c r="D28" s="60">
        <f>D14-D26</f>
        <v>15000</v>
      </c>
      <c r="E28" s="60">
        <f t="shared" ref="E28:O28" si="3">E14-E26</f>
        <v>36800</v>
      </c>
      <c r="F28" s="60">
        <f t="shared" si="3"/>
        <v>53500</v>
      </c>
      <c r="G28" s="60">
        <f t="shared" si="3"/>
        <v>25500</v>
      </c>
      <c r="H28" s="60">
        <f t="shared" si="3"/>
        <v>78000</v>
      </c>
      <c r="I28" s="60">
        <f t="shared" si="3"/>
        <v>0</v>
      </c>
      <c r="J28" s="60">
        <f t="shared" si="3"/>
        <v>0</v>
      </c>
      <c r="K28" s="60">
        <f t="shared" si="3"/>
        <v>0</v>
      </c>
      <c r="L28" s="60">
        <f t="shared" si="3"/>
        <v>0</v>
      </c>
      <c r="M28" s="60">
        <f t="shared" si="3"/>
        <v>0</v>
      </c>
      <c r="N28" s="60">
        <f t="shared" si="3"/>
        <v>0</v>
      </c>
      <c r="O28" s="60">
        <f t="shared" si="3"/>
        <v>0</v>
      </c>
    </row>
  </sheetData>
  <sheetProtection algorithmName="SHA-512" hashValue="7QHZXFFfZrOkx3iDpIN+5LvY7QQxX8V0oOjMLSiOG50HTchc+BHF352IoyMJX4B4vZfw5P4Qp1ZHTIHm35gMYg==" saltValue="mSBrRAPwBkv4w4xYHjoUw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1EC90-A87E-49CA-98FB-19A05578EB59}">
  <dimension ref="A1:D44"/>
  <sheetViews>
    <sheetView topLeftCell="A13" workbookViewId="0">
      <selection activeCell="D43" sqref="D43"/>
    </sheetView>
  </sheetViews>
  <sheetFormatPr defaultRowHeight="20.25" customHeight="1"/>
  <cols>
    <col min="1" max="1" width="32.85546875" customWidth="1"/>
    <col min="2" max="2" width="34" customWidth="1"/>
    <col min="3" max="3" width="34.140625" customWidth="1"/>
    <col min="4" max="4" width="10.28515625" customWidth="1"/>
  </cols>
  <sheetData>
    <row r="1" spans="1:4" ht="20.25" customHeight="1">
      <c r="A1" s="4"/>
      <c r="B1" s="4"/>
      <c r="C1" s="4"/>
      <c r="D1" s="4"/>
    </row>
    <row r="2" spans="1:4" ht="20.25" customHeight="1">
      <c r="A2" s="4"/>
      <c r="B2" s="4"/>
      <c r="C2" s="4"/>
      <c r="D2" s="4"/>
    </row>
    <row r="3" spans="1:4" ht="20.25" customHeight="1">
      <c r="A3" s="2" t="s">
        <v>61</v>
      </c>
      <c r="B3" s="3"/>
      <c r="C3" s="3"/>
      <c r="D3" s="3"/>
    </row>
    <row r="4" spans="1:4" ht="20.25" customHeight="1">
      <c r="A4" s="4"/>
      <c r="B4" s="4"/>
      <c r="C4" s="4"/>
      <c r="D4" s="4"/>
    </row>
    <row r="5" spans="1:4" ht="20.25" customHeight="1">
      <c r="A5" s="4"/>
      <c r="B5" s="3" t="s">
        <v>62</v>
      </c>
      <c r="C5" s="4"/>
      <c r="D5" s="4"/>
    </row>
    <row r="6" spans="1:4" ht="20.25" customHeight="1">
      <c r="A6" s="4"/>
      <c r="B6" s="4"/>
      <c r="C6" s="5" t="s">
        <v>63</v>
      </c>
      <c r="D6" s="6">
        <v>0</v>
      </c>
    </row>
    <row r="7" spans="1:4" ht="20.25" customHeight="1">
      <c r="A7" s="4"/>
      <c r="B7" s="4"/>
      <c r="C7" s="7" t="s">
        <v>64</v>
      </c>
      <c r="D7" s="8">
        <v>708800</v>
      </c>
    </row>
    <row r="8" spans="1:4" ht="20.25" customHeight="1">
      <c r="A8" s="4"/>
      <c r="B8" s="4"/>
      <c r="C8" s="9" t="s">
        <v>65</v>
      </c>
      <c r="D8" s="10">
        <f>SUM(D6:D7)</f>
        <v>708800</v>
      </c>
    </row>
    <row r="9" spans="1:4" ht="20.25" customHeight="1">
      <c r="A9" s="4"/>
      <c r="B9" s="4"/>
      <c r="C9" s="4"/>
      <c r="D9" s="4"/>
    </row>
    <row r="10" spans="1:4" ht="20.25" customHeight="1">
      <c r="A10" s="4"/>
      <c r="B10" s="3" t="s">
        <v>66</v>
      </c>
      <c r="C10" s="4"/>
      <c r="D10" s="4"/>
    </row>
    <row r="11" spans="1:4" ht="20.25" customHeight="1">
      <c r="A11" s="4"/>
      <c r="B11" s="4"/>
      <c r="C11" s="5" t="s">
        <v>67</v>
      </c>
      <c r="D11" s="6">
        <v>155000</v>
      </c>
    </row>
    <row r="12" spans="1:4" ht="20.25" customHeight="1">
      <c r="A12" s="4"/>
      <c r="B12" s="4"/>
      <c r="C12" s="7" t="s">
        <v>68</v>
      </c>
      <c r="D12" s="8">
        <v>0</v>
      </c>
    </row>
    <row r="13" spans="1:4" ht="20.25" customHeight="1">
      <c r="A13" s="4"/>
      <c r="B13" s="4"/>
      <c r="C13" s="7" t="s">
        <v>69</v>
      </c>
      <c r="D13" s="8">
        <v>0</v>
      </c>
    </row>
    <row r="14" spans="1:4" ht="20.25" customHeight="1">
      <c r="A14" s="4"/>
      <c r="B14" s="4"/>
      <c r="C14" s="9" t="s">
        <v>70</v>
      </c>
      <c r="D14" s="10">
        <f>SUM(D11:D13)</f>
        <v>155000</v>
      </c>
    </row>
    <row r="15" spans="1:4" ht="20.25" customHeight="1">
      <c r="A15" s="4"/>
      <c r="B15" s="4"/>
      <c r="C15" s="4"/>
      <c r="D15" s="4"/>
    </row>
    <row r="16" spans="1:4" ht="20.25" customHeight="1">
      <c r="A16" s="4"/>
      <c r="B16" s="4"/>
      <c r="C16" s="4"/>
      <c r="D16" s="4"/>
    </row>
    <row r="17" spans="1:4" ht="20.25" customHeight="1">
      <c r="A17" s="4"/>
      <c r="B17" s="4"/>
      <c r="C17" s="4"/>
      <c r="D17" s="4"/>
    </row>
    <row r="18" spans="1:4" ht="20.25" customHeight="1">
      <c r="A18" s="4"/>
      <c r="B18" s="3" t="s">
        <v>71</v>
      </c>
      <c r="C18" s="4"/>
      <c r="D18" s="4"/>
    </row>
    <row r="19" spans="1:4" ht="20.25" customHeight="1">
      <c r="A19" s="4"/>
      <c r="B19" s="4"/>
      <c r="C19" s="5" t="s">
        <v>72</v>
      </c>
      <c r="D19" s="6">
        <v>0</v>
      </c>
    </row>
    <row r="20" spans="1:4" ht="20.25" customHeight="1">
      <c r="A20" s="4"/>
      <c r="B20" s="4"/>
      <c r="C20" s="7" t="s">
        <v>11</v>
      </c>
      <c r="D20" s="8">
        <v>45000</v>
      </c>
    </row>
    <row r="21" spans="1:4" ht="20.25" customHeight="1">
      <c r="A21" s="4"/>
      <c r="B21" s="4"/>
      <c r="C21" s="7" t="s">
        <v>73</v>
      </c>
      <c r="D21" s="8">
        <v>0</v>
      </c>
    </row>
    <row r="22" spans="1:4" ht="20.25" customHeight="1">
      <c r="A22" s="4"/>
      <c r="B22" s="4"/>
      <c r="C22" s="7" t="s">
        <v>74</v>
      </c>
      <c r="D22" s="8">
        <v>0</v>
      </c>
    </row>
    <row r="23" spans="1:4" ht="20.25" customHeight="1">
      <c r="A23" s="4"/>
      <c r="B23" s="4"/>
      <c r="C23" s="11" t="s">
        <v>75</v>
      </c>
      <c r="D23" s="12"/>
    </row>
    <row r="24" spans="1:4" ht="20.25" customHeight="1">
      <c r="A24" s="4"/>
      <c r="B24" s="4"/>
      <c r="C24" s="13" t="s">
        <v>76</v>
      </c>
      <c r="D24" s="14">
        <f>SUM(D19:D23)</f>
        <v>45000</v>
      </c>
    </row>
    <row r="25" spans="1:4" ht="20.25" customHeight="1">
      <c r="A25" s="4"/>
      <c r="B25" s="4"/>
      <c r="C25" s="4"/>
      <c r="D25" s="4"/>
    </row>
    <row r="26" spans="1:4" ht="20.25" customHeight="1">
      <c r="A26" s="4"/>
      <c r="B26" s="15" t="s">
        <v>77</v>
      </c>
      <c r="C26" s="16"/>
      <c r="D26" s="10">
        <f>D24+D14+D8</f>
        <v>908800</v>
      </c>
    </row>
    <row r="27" spans="1:4" ht="20.25" customHeight="1">
      <c r="A27" s="4"/>
      <c r="B27" s="4"/>
      <c r="C27" s="4"/>
      <c r="D27" s="4"/>
    </row>
    <row r="28" spans="1:4" ht="20.25" customHeight="1">
      <c r="A28" s="17" t="s">
        <v>78</v>
      </c>
      <c r="B28" s="3"/>
      <c r="C28" s="3"/>
      <c r="D28" s="3"/>
    </row>
    <row r="29" spans="1:4" ht="20.25" customHeight="1">
      <c r="A29" s="4"/>
      <c r="B29" s="3" t="s">
        <v>79</v>
      </c>
      <c r="C29" s="4"/>
      <c r="D29" s="4"/>
    </row>
    <row r="30" spans="1:4" ht="20.25" customHeight="1">
      <c r="A30" s="4"/>
      <c r="B30" s="4"/>
      <c r="C30" s="18" t="s">
        <v>80</v>
      </c>
      <c r="D30" s="19">
        <v>500000</v>
      </c>
    </row>
    <row r="31" spans="1:4" ht="20.25" customHeight="1">
      <c r="A31" s="4"/>
      <c r="B31" s="4"/>
      <c r="C31" s="20" t="s">
        <v>81</v>
      </c>
      <c r="D31" s="21">
        <v>208800</v>
      </c>
    </row>
    <row r="32" spans="1:4" ht="20.25" customHeight="1">
      <c r="A32" s="4"/>
      <c r="B32" s="4"/>
      <c r="C32" s="22" t="s">
        <v>82</v>
      </c>
      <c r="D32" s="23">
        <f>SUM(D30:D31)</f>
        <v>708800</v>
      </c>
    </row>
    <row r="33" spans="1:4" ht="20.25" customHeight="1">
      <c r="A33" s="4"/>
      <c r="B33" s="4"/>
      <c r="C33" s="4"/>
      <c r="D33" s="4"/>
    </row>
    <row r="34" spans="1:4" ht="20.25" customHeight="1">
      <c r="A34" s="4"/>
      <c r="B34" s="3" t="s">
        <v>83</v>
      </c>
      <c r="C34" s="4"/>
      <c r="D34" s="4"/>
    </row>
    <row r="35" spans="1:4" ht="20.25" customHeight="1">
      <c r="A35" s="4"/>
      <c r="B35" s="4"/>
      <c r="C35" s="18" t="s">
        <v>84</v>
      </c>
      <c r="D35" s="19"/>
    </row>
    <row r="36" spans="1:4" ht="20.25" customHeight="1">
      <c r="A36" s="4"/>
      <c r="B36" s="4"/>
      <c r="C36" s="20" t="s">
        <v>85</v>
      </c>
      <c r="D36" s="21"/>
    </row>
    <row r="37" spans="1:4" ht="20.25" customHeight="1">
      <c r="A37" s="4"/>
      <c r="B37" s="4"/>
      <c r="C37" s="22" t="s">
        <v>86</v>
      </c>
      <c r="D37" s="23">
        <f>SUM(D35:D36)</f>
        <v>0</v>
      </c>
    </row>
    <row r="38" spans="1:4" ht="20.25" customHeight="1">
      <c r="A38" s="4"/>
      <c r="B38" s="4"/>
      <c r="C38" s="4"/>
      <c r="D38" s="4"/>
    </row>
    <row r="39" spans="1:4" ht="20.25" customHeight="1">
      <c r="A39" s="4"/>
      <c r="B39" s="3" t="s">
        <v>87</v>
      </c>
      <c r="C39" s="4"/>
      <c r="D39" s="4"/>
    </row>
    <row r="40" spans="1:4" ht="20.25" customHeight="1">
      <c r="A40" s="4"/>
      <c r="B40" s="4"/>
      <c r="C40" s="18" t="s">
        <v>88</v>
      </c>
      <c r="D40" s="19">
        <v>200000</v>
      </c>
    </row>
    <row r="41" spans="1:4" ht="20.25" customHeight="1">
      <c r="A41" s="4"/>
      <c r="B41" s="4"/>
      <c r="C41" s="20" t="s">
        <v>89</v>
      </c>
      <c r="D41" s="21"/>
    </row>
    <row r="42" spans="1:4" ht="20.25" customHeight="1">
      <c r="A42" s="4"/>
      <c r="B42" s="4"/>
      <c r="C42" s="22" t="s">
        <v>90</v>
      </c>
      <c r="D42" s="23">
        <f>SUM(D40:D41)</f>
        <v>200000</v>
      </c>
    </row>
    <row r="43" spans="1:4" ht="20.25" customHeight="1">
      <c r="A43" s="4"/>
      <c r="B43" s="4"/>
      <c r="C43" s="4"/>
      <c r="D43" s="4"/>
    </row>
    <row r="44" spans="1:4" ht="20.25" customHeight="1">
      <c r="A44" s="4"/>
      <c r="B44" s="24" t="s">
        <v>91</v>
      </c>
      <c r="C44" s="25"/>
      <c r="D44" s="26">
        <f>D42+D32</f>
        <v>908800</v>
      </c>
    </row>
  </sheetData>
  <sheetProtection algorithmName="SHA-512" hashValue="bWeSOi0Lu8HdJpJC1NWawB/mfpM9XEjEQt6U/s+/3wcmtUbXrgLkbJLkjy/AsX/EbiYoJvWR3Bcc5+7mCINzlg==" saltValue="KAiF562BRvuwcEvxKRt4Dw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BE-466C-41C9-AC31-F1054C6F69F2}">
  <dimension ref="A2:B13"/>
  <sheetViews>
    <sheetView showGridLines="0" tabSelected="1" workbookViewId="0">
      <selection activeCell="J15" sqref="J15"/>
    </sheetView>
  </sheetViews>
  <sheetFormatPr defaultRowHeight="15"/>
  <cols>
    <col min="1" max="1" width="2.7109375" style="62" customWidth="1"/>
    <col min="2" max="2" width="58.140625" style="62" customWidth="1"/>
    <col min="3" max="16384" width="9.140625" style="62"/>
  </cols>
  <sheetData>
    <row r="2" spans="1:2" ht="18.75">
      <c r="A2" s="67" t="s">
        <v>92</v>
      </c>
      <c r="B2" s="67"/>
    </row>
    <row r="3" spans="1:2">
      <c r="A3" s="64">
        <v>1</v>
      </c>
      <c r="B3" s="65" t="s">
        <v>93</v>
      </c>
    </row>
    <row r="4" spans="1:2">
      <c r="A4" s="64">
        <v>2</v>
      </c>
      <c r="B4" s="65" t="s">
        <v>94</v>
      </c>
    </row>
    <row r="5" spans="1:2">
      <c r="A5" s="64">
        <v>3</v>
      </c>
      <c r="B5" s="65" t="s">
        <v>95</v>
      </c>
    </row>
    <row r="6" spans="1:2">
      <c r="A6" s="64">
        <v>4</v>
      </c>
      <c r="B6" s="65" t="s">
        <v>96</v>
      </c>
    </row>
    <row r="7" spans="1:2">
      <c r="A7" s="64">
        <v>5</v>
      </c>
      <c r="B7" s="65" t="s">
        <v>97</v>
      </c>
    </row>
    <row r="8" spans="1:2">
      <c r="A8" s="64">
        <v>6</v>
      </c>
      <c r="B8" s="65" t="s">
        <v>98</v>
      </c>
    </row>
    <row r="9" spans="1:2">
      <c r="A9" s="63"/>
    </row>
    <row r="10" spans="1:2">
      <c r="A10" s="63"/>
    </row>
    <row r="11" spans="1:2">
      <c r="A11" s="63"/>
    </row>
    <row r="12" spans="1:2">
      <c r="A12" s="63"/>
    </row>
    <row r="13" spans="1:2">
      <c r="A13" s="63"/>
    </row>
  </sheetData>
  <sheetProtection algorithmName="SHA-512" hashValue="io4oqJvpvtYiN9eWo0ndNrd1GoIezR0IHMOlHTafNVKsp6eWio5Rp7sa9/LOpt3vLPHpcJ9wO0SPVYvYrg0EsA==" saltValue="IO1at8p+G1guFrs9dsb9nA==" spinCount="100000" sheet="1" objects="1" scenarios="1"/>
  <mergeCells count="1"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3F6D-6A0C-42A3-8857-83A0DC1031A3}">
  <dimension ref="A1:B8"/>
  <sheetViews>
    <sheetView workbookViewId="0">
      <selection activeCell="B3" sqref="B3"/>
    </sheetView>
  </sheetViews>
  <sheetFormatPr defaultRowHeight="15"/>
  <cols>
    <col min="1" max="1" width="17.85546875" customWidth="1"/>
    <col min="2" max="2" width="75.28515625" customWidth="1"/>
  </cols>
  <sheetData>
    <row r="1" spans="1:2">
      <c r="A1" s="35" t="s">
        <v>99</v>
      </c>
      <c r="B1" s="35" t="s">
        <v>100</v>
      </c>
    </row>
    <row r="2" spans="1:2">
      <c r="A2" s="28" t="s">
        <v>101</v>
      </c>
      <c r="B2" s="28" t="s">
        <v>102</v>
      </c>
    </row>
    <row r="3" spans="1:2" ht="23.25" customHeight="1">
      <c r="A3" s="28" t="s">
        <v>103</v>
      </c>
      <c r="B3" s="4" t="s">
        <v>104</v>
      </c>
    </row>
    <row r="4" spans="1:2">
      <c r="A4" s="28" t="s">
        <v>105</v>
      </c>
      <c r="B4" s="28" t="s">
        <v>106</v>
      </c>
    </row>
    <row r="5" spans="1:2">
      <c r="A5" s="28" t="s">
        <v>107</v>
      </c>
      <c r="B5" s="28" t="s">
        <v>108</v>
      </c>
    </row>
    <row r="6" spans="1:2">
      <c r="A6" s="28" t="s">
        <v>109</v>
      </c>
      <c r="B6" s="68">
        <v>45991</v>
      </c>
    </row>
    <row r="7" spans="1:2">
      <c r="A7" s="28" t="s">
        <v>110</v>
      </c>
      <c r="B7" s="69" t="s">
        <v>111</v>
      </c>
    </row>
    <row r="8" spans="1:2" ht="17.25" customHeight="1">
      <c r="A8" s="28" t="s">
        <v>112</v>
      </c>
      <c r="B8" s="4" t="s">
        <v>113</v>
      </c>
    </row>
  </sheetData>
  <sheetProtection sheet="1" objects="1" scenarios="1"/>
  <hyperlinks>
    <hyperlink ref="B7" r:id="rId1" xr:uid="{E0A67CC8-F8B9-4666-B1C4-AF53127BF9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2025-11-30T11:16:50Z</dcterms:created>
  <dcterms:modified xsi:type="dcterms:W3CDTF">2025-12-07T10:36:08Z</dcterms:modified>
  <cp:category/>
  <cp:contentStatus/>
</cp:coreProperties>
</file>