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/>
  <xr:revisionPtr revIDLastSave="0" documentId="8_{938CC310-127D-4F7B-977D-060ED36A6403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SALES BY MONTH" sheetId="3" r:id="rId1"/>
    <sheet name="SALES DATA" sheetId="1" r:id="rId2"/>
    <sheet name="CUSTOMER INFO" sheetId="2" r:id="rId3"/>
    <sheet name="ABOUT" sheetId="4" state="hidden" r:id="rId4"/>
  </sheets>
  <calcPr calcId="191028"/>
  <pivotCaches>
    <pivotCache cacheId="93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9" i="1" l="1"/>
  <c r="H367" i="1"/>
  <c r="H368" i="1"/>
  <c r="H366" i="1"/>
  <c r="H359" i="1"/>
  <c r="H360" i="1"/>
  <c r="H361" i="1"/>
  <c r="H362" i="1"/>
  <c r="H363" i="1"/>
  <c r="H364" i="1"/>
  <c r="H365" i="1"/>
  <c r="H358" i="1"/>
  <c r="H351" i="1"/>
  <c r="H352" i="1"/>
  <c r="H353" i="1"/>
  <c r="H354" i="1"/>
  <c r="H355" i="1"/>
  <c r="H356" i="1"/>
  <c r="H357" i="1"/>
  <c r="H350" i="1"/>
  <c r="H343" i="1"/>
  <c r="H344" i="1"/>
  <c r="H345" i="1"/>
  <c r="H346" i="1"/>
  <c r="H347" i="1"/>
  <c r="H348" i="1"/>
  <c r="H349" i="1"/>
  <c r="H342" i="1"/>
  <c r="H335" i="1"/>
  <c r="H336" i="1"/>
  <c r="H337" i="1"/>
  <c r="H338" i="1"/>
  <c r="H339" i="1"/>
  <c r="H340" i="1"/>
  <c r="H341" i="1"/>
  <c r="H334" i="1"/>
  <c r="H327" i="1"/>
  <c r="H328" i="1"/>
  <c r="H329" i="1"/>
  <c r="H330" i="1"/>
  <c r="H331" i="1"/>
  <c r="H332" i="1"/>
  <c r="H333" i="1"/>
  <c r="H326" i="1"/>
  <c r="H319" i="1"/>
  <c r="H320" i="1"/>
  <c r="H321" i="1"/>
  <c r="H322" i="1"/>
  <c r="H323" i="1"/>
  <c r="H324" i="1"/>
  <c r="H325" i="1"/>
  <c r="H318" i="1"/>
  <c r="H311" i="1"/>
  <c r="H312" i="1"/>
  <c r="H313" i="1"/>
  <c r="H314" i="1"/>
  <c r="H315" i="1"/>
  <c r="H316" i="1"/>
  <c r="H317" i="1"/>
  <c r="H310" i="1"/>
  <c r="H303" i="1"/>
  <c r="H304" i="1"/>
  <c r="H305" i="1"/>
  <c r="H306" i="1"/>
  <c r="H307" i="1"/>
  <c r="H308" i="1"/>
  <c r="H309" i="1"/>
  <c r="H302" i="1"/>
  <c r="H300" i="1"/>
  <c r="H301" i="1"/>
  <c r="H295" i="1"/>
  <c r="H296" i="1"/>
  <c r="H297" i="1"/>
  <c r="H298" i="1"/>
  <c r="H299" i="1"/>
  <c r="H294" i="1"/>
  <c r="H287" i="1"/>
  <c r="H288" i="1"/>
  <c r="H289" i="1"/>
  <c r="H290" i="1"/>
  <c r="H291" i="1"/>
  <c r="H292" i="1"/>
  <c r="H293" i="1"/>
  <c r="H286" i="1"/>
  <c r="H279" i="1"/>
  <c r="H280" i="1"/>
  <c r="H281" i="1"/>
  <c r="H282" i="1"/>
  <c r="H283" i="1"/>
  <c r="H284" i="1"/>
  <c r="H285" i="1"/>
  <c r="H278" i="1"/>
  <c r="H271" i="1"/>
  <c r="H272" i="1"/>
  <c r="H273" i="1"/>
  <c r="H274" i="1"/>
  <c r="H275" i="1"/>
  <c r="H276" i="1"/>
  <c r="H277" i="1"/>
  <c r="H270" i="1"/>
  <c r="H263" i="1"/>
  <c r="H264" i="1"/>
  <c r="H265" i="1"/>
  <c r="H266" i="1"/>
  <c r="H267" i="1"/>
  <c r="H268" i="1"/>
  <c r="H269" i="1"/>
  <c r="H262" i="1"/>
  <c r="H255" i="1"/>
  <c r="H256" i="1"/>
  <c r="H257" i="1"/>
  <c r="H258" i="1"/>
  <c r="H259" i="1"/>
  <c r="H260" i="1"/>
  <c r="H261" i="1"/>
  <c r="H254" i="1"/>
  <c r="H247" i="1"/>
  <c r="H248" i="1"/>
  <c r="H249" i="1"/>
  <c r="H250" i="1"/>
  <c r="H251" i="1"/>
  <c r="H252" i="1"/>
  <c r="H253" i="1"/>
  <c r="H246" i="1"/>
  <c r="H239" i="1"/>
  <c r="H240" i="1"/>
  <c r="H241" i="1"/>
  <c r="H242" i="1"/>
  <c r="H243" i="1"/>
  <c r="H244" i="1"/>
  <c r="H245" i="1"/>
  <c r="H238" i="1"/>
  <c r="H231" i="1"/>
  <c r="H232" i="1"/>
  <c r="H233" i="1"/>
  <c r="H234" i="1"/>
  <c r="H235" i="1"/>
  <c r="H236" i="1"/>
  <c r="H237" i="1"/>
  <c r="H230" i="1"/>
  <c r="H223" i="1"/>
  <c r="H224" i="1"/>
  <c r="H225" i="1"/>
  <c r="H226" i="1"/>
  <c r="H227" i="1"/>
  <c r="H228" i="1"/>
  <c r="H229" i="1"/>
  <c r="H222" i="1"/>
  <c r="H215" i="1"/>
  <c r="H216" i="1"/>
  <c r="H217" i="1"/>
  <c r="H218" i="1"/>
  <c r="H219" i="1"/>
  <c r="H220" i="1"/>
  <c r="H221" i="1"/>
  <c r="H214" i="1"/>
  <c r="H207" i="1"/>
  <c r="H208" i="1"/>
  <c r="H209" i="1"/>
  <c r="H210" i="1"/>
  <c r="H211" i="1"/>
  <c r="H212" i="1"/>
  <c r="H213" i="1"/>
  <c r="H206" i="1"/>
  <c r="H199" i="1"/>
  <c r="H200" i="1"/>
  <c r="H201" i="1"/>
  <c r="H202" i="1"/>
  <c r="H203" i="1"/>
  <c r="H204" i="1"/>
  <c r="H205" i="1"/>
  <c r="H198" i="1"/>
  <c r="H197" i="1"/>
  <c r="H196" i="1"/>
  <c r="H189" i="1"/>
  <c r="H190" i="1"/>
  <c r="H191" i="1"/>
  <c r="H192" i="1"/>
  <c r="H193" i="1"/>
  <c r="H194" i="1"/>
  <c r="H195" i="1"/>
  <c r="H188" i="1"/>
  <c r="H181" i="1"/>
  <c r="H182" i="1"/>
  <c r="H183" i="1"/>
  <c r="H184" i="1"/>
  <c r="H185" i="1"/>
  <c r="H186" i="1"/>
  <c r="H187" i="1"/>
  <c r="H180" i="1"/>
  <c r="H173" i="1"/>
  <c r="H174" i="1"/>
  <c r="H175" i="1"/>
  <c r="H176" i="1"/>
  <c r="H177" i="1"/>
  <c r="H178" i="1"/>
  <c r="H179" i="1"/>
  <c r="H172" i="1"/>
  <c r="H165" i="1"/>
  <c r="H166" i="1"/>
  <c r="H167" i="1"/>
  <c r="H168" i="1"/>
  <c r="H169" i="1"/>
  <c r="H170" i="1"/>
  <c r="H171" i="1"/>
  <c r="H164" i="1"/>
  <c r="H157" i="1"/>
  <c r="H158" i="1"/>
  <c r="H159" i="1"/>
  <c r="H160" i="1"/>
  <c r="H161" i="1"/>
  <c r="H162" i="1"/>
  <c r="H163" i="1"/>
  <c r="H156" i="1"/>
  <c r="H149" i="1"/>
  <c r="H150" i="1"/>
  <c r="H151" i="1"/>
  <c r="H152" i="1"/>
  <c r="H153" i="1"/>
  <c r="H154" i="1"/>
  <c r="H155" i="1"/>
  <c r="H148" i="1"/>
  <c r="H141" i="1"/>
  <c r="H142" i="1"/>
  <c r="H143" i="1"/>
  <c r="H144" i="1"/>
  <c r="H145" i="1"/>
  <c r="H146" i="1"/>
  <c r="H147" i="1"/>
  <c r="H140" i="1"/>
  <c r="H133" i="1"/>
  <c r="H134" i="1"/>
  <c r="H135" i="1"/>
  <c r="H136" i="1"/>
  <c r="H137" i="1"/>
  <c r="H138" i="1"/>
  <c r="H139" i="1"/>
  <c r="H132" i="1"/>
  <c r="H125" i="1"/>
  <c r="H126" i="1"/>
  <c r="H127" i="1"/>
  <c r="H128" i="1"/>
  <c r="H129" i="1"/>
  <c r="H130" i="1"/>
  <c r="H131" i="1"/>
  <c r="H124" i="1"/>
  <c r="H117" i="1"/>
  <c r="H118" i="1"/>
  <c r="H119" i="1"/>
  <c r="H120" i="1"/>
  <c r="H121" i="1"/>
  <c r="H122" i="1"/>
  <c r="H123" i="1"/>
  <c r="H116" i="1"/>
  <c r="H109" i="1"/>
  <c r="H110" i="1"/>
  <c r="H111" i="1"/>
  <c r="H112" i="1"/>
  <c r="H113" i="1"/>
  <c r="H114" i="1"/>
  <c r="H115" i="1"/>
  <c r="H108" i="1"/>
  <c r="H101" i="1"/>
  <c r="H102" i="1"/>
  <c r="H103" i="1"/>
  <c r="H104" i="1"/>
  <c r="H105" i="1"/>
  <c r="H106" i="1"/>
  <c r="H107" i="1"/>
  <c r="H100" i="1"/>
  <c r="H93" i="1"/>
  <c r="H94" i="1"/>
  <c r="H95" i="1"/>
  <c r="H96" i="1"/>
  <c r="H97" i="1"/>
  <c r="H98" i="1"/>
  <c r="H99" i="1"/>
  <c r="H92" i="1"/>
  <c r="H85" i="1"/>
  <c r="H86" i="1"/>
  <c r="H87" i="1"/>
  <c r="H88" i="1"/>
  <c r="H89" i="1"/>
  <c r="H90" i="1"/>
  <c r="H91" i="1"/>
  <c r="H84" i="1"/>
  <c r="H77" i="1"/>
  <c r="H78" i="1"/>
  <c r="H79" i="1"/>
  <c r="H80" i="1"/>
  <c r="H81" i="1"/>
  <c r="H82" i="1"/>
  <c r="H83" i="1"/>
  <c r="H76" i="1"/>
  <c r="H69" i="1"/>
  <c r="H70" i="1"/>
  <c r="H71" i="1"/>
  <c r="H72" i="1"/>
  <c r="H73" i="1"/>
  <c r="H74" i="1"/>
  <c r="H75" i="1"/>
  <c r="H68" i="1"/>
  <c r="H61" i="1"/>
  <c r="H62" i="1"/>
  <c r="H63" i="1"/>
  <c r="H64" i="1"/>
  <c r="H65" i="1"/>
  <c r="H66" i="1"/>
  <c r="H67" i="1"/>
  <c r="H60" i="1"/>
  <c r="H53" i="1"/>
  <c r="H54" i="1"/>
  <c r="H55" i="1"/>
  <c r="H56" i="1"/>
  <c r="H57" i="1"/>
  <c r="H58" i="1"/>
  <c r="H59" i="1"/>
  <c r="H52" i="1"/>
  <c r="H45" i="1"/>
  <c r="H46" i="1"/>
  <c r="H47" i="1"/>
  <c r="H48" i="1"/>
  <c r="H49" i="1"/>
  <c r="H50" i="1"/>
  <c r="H51" i="1"/>
  <c r="H44" i="1"/>
  <c r="H37" i="1"/>
  <c r="H38" i="1"/>
  <c r="H39" i="1"/>
  <c r="H40" i="1"/>
  <c r="H41" i="1"/>
  <c r="H42" i="1"/>
  <c r="H43" i="1"/>
  <c r="H36" i="1"/>
  <c r="H29" i="1"/>
  <c r="H30" i="1"/>
  <c r="H31" i="1"/>
  <c r="H32" i="1"/>
  <c r="H33" i="1"/>
  <c r="H34" i="1"/>
  <c r="H35" i="1"/>
  <c r="H28" i="1"/>
  <c r="H21" i="1"/>
  <c r="H22" i="1"/>
  <c r="H23" i="1"/>
  <c r="H24" i="1"/>
  <c r="H25" i="1"/>
  <c r="H26" i="1"/>
  <c r="H27" i="1"/>
  <c r="H20" i="1"/>
  <c r="H13" i="1"/>
  <c r="H14" i="1"/>
  <c r="H15" i="1"/>
  <c r="H16" i="1"/>
  <c r="H17" i="1"/>
  <c r="H18" i="1"/>
  <c r="H19" i="1"/>
  <c r="H12" i="1"/>
  <c r="H5" i="1"/>
  <c r="H6" i="1"/>
  <c r="H7" i="1"/>
  <c r="H8" i="1"/>
  <c r="H9" i="1"/>
  <c r="H10" i="1"/>
  <c r="H11" i="1"/>
  <c r="H4" i="1"/>
  <c r="G367" i="1"/>
  <c r="G368" i="1"/>
  <c r="G366" i="1"/>
  <c r="G351" i="1"/>
  <c r="G352" i="1"/>
  <c r="G353" i="1"/>
  <c r="G354" i="1"/>
  <c r="G355" i="1"/>
  <c r="G356" i="1"/>
  <c r="G357" i="1"/>
  <c r="G350" i="1"/>
  <c r="G343" i="1"/>
  <c r="G344" i="1"/>
  <c r="G345" i="1"/>
  <c r="G346" i="1"/>
  <c r="G347" i="1"/>
  <c r="G348" i="1"/>
  <c r="G349" i="1"/>
  <c r="G342" i="1"/>
  <c r="G335" i="1"/>
  <c r="G336" i="1"/>
  <c r="G337" i="1"/>
  <c r="G338" i="1"/>
  <c r="G339" i="1"/>
  <c r="G340" i="1"/>
  <c r="G341" i="1"/>
  <c r="G334" i="1"/>
  <c r="G327" i="1"/>
  <c r="G328" i="1"/>
  <c r="G329" i="1"/>
  <c r="G330" i="1"/>
  <c r="G331" i="1"/>
  <c r="G332" i="1"/>
  <c r="G333" i="1"/>
  <c r="G326" i="1"/>
  <c r="G319" i="1"/>
  <c r="G320" i="1"/>
  <c r="G321" i="1"/>
  <c r="G322" i="1"/>
  <c r="G323" i="1"/>
  <c r="G324" i="1"/>
  <c r="G325" i="1"/>
  <c r="G318" i="1"/>
  <c r="G311" i="1"/>
  <c r="G312" i="1"/>
  <c r="G313" i="1"/>
  <c r="G314" i="1"/>
  <c r="G315" i="1"/>
  <c r="G316" i="1"/>
  <c r="G317" i="1"/>
  <c r="G310" i="1"/>
  <c r="G303" i="1"/>
  <c r="G304" i="1"/>
  <c r="G305" i="1"/>
  <c r="G306" i="1"/>
  <c r="G307" i="1"/>
  <c r="G308" i="1"/>
  <c r="G309" i="1"/>
  <c r="G302" i="1"/>
  <c r="G295" i="1"/>
  <c r="G296" i="1"/>
  <c r="G297" i="1"/>
  <c r="G298" i="1"/>
  <c r="G299" i="1"/>
  <c r="G300" i="1"/>
  <c r="G301" i="1"/>
  <c r="G294" i="1"/>
  <c r="G287" i="1"/>
  <c r="G288" i="1"/>
  <c r="G289" i="1"/>
  <c r="G290" i="1"/>
  <c r="G291" i="1"/>
  <c r="G292" i="1"/>
  <c r="G293" i="1"/>
  <c r="G286" i="1"/>
  <c r="G279" i="1"/>
  <c r="G280" i="1"/>
  <c r="G281" i="1"/>
  <c r="G282" i="1"/>
  <c r="G283" i="1"/>
  <c r="G284" i="1"/>
  <c r="G285" i="1"/>
  <c r="G278" i="1"/>
  <c r="G271" i="1"/>
  <c r="G272" i="1"/>
  <c r="G273" i="1"/>
  <c r="G274" i="1"/>
  <c r="G275" i="1"/>
  <c r="G276" i="1"/>
  <c r="G277" i="1"/>
  <c r="G270" i="1"/>
  <c r="G263" i="1"/>
  <c r="G264" i="1"/>
  <c r="G265" i="1"/>
  <c r="G266" i="1"/>
  <c r="G267" i="1"/>
  <c r="G268" i="1"/>
  <c r="G269" i="1"/>
  <c r="G262" i="1"/>
  <c r="G255" i="1"/>
  <c r="G256" i="1"/>
  <c r="G257" i="1"/>
  <c r="G258" i="1"/>
  <c r="G259" i="1"/>
  <c r="G260" i="1"/>
  <c r="G261" i="1"/>
  <c r="G254" i="1"/>
  <c r="G247" i="1"/>
  <c r="G248" i="1"/>
  <c r="G249" i="1"/>
  <c r="G250" i="1"/>
  <c r="G251" i="1"/>
  <c r="G252" i="1"/>
  <c r="G253" i="1"/>
  <c r="G246" i="1"/>
  <c r="G239" i="1"/>
  <c r="G240" i="1"/>
  <c r="G241" i="1"/>
  <c r="G242" i="1"/>
  <c r="G243" i="1"/>
  <c r="G244" i="1"/>
  <c r="G245" i="1"/>
  <c r="G238" i="1"/>
  <c r="G231" i="1"/>
  <c r="G232" i="1"/>
  <c r="G233" i="1"/>
  <c r="G234" i="1"/>
  <c r="G235" i="1"/>
  <c r="G236" i="1"/>
  <c r="G237" i="1"/>
  <c r="G230" i="1"/>
  <c r="G223" i="1"/>
  <c r="G224" i="1"/>
  <c r="G225" i="1"/>
  <c r="G226" i="1"/>
  <c r="G227" i="1"/>
  <c r="G228" i="1"/>
  <c r="G229" i="1"/>
  <c r="G222" i="1"/>
  <c r="G215" i="1"/>
  <c r="G216" i="1"/>
  <c r="G217" i="1"/>
  <c r="G218" i="1"/>
  <c r="G219" i="1"/>
  <c r="G220" i="1"/>
  <c r="G221" i="1"/>
  <c r="G214" i="1"/>
  <c r="G207" i="1"/>
  <c r="G208" i="1"/>
  <c r="G209" i="1"/>
  <c r="G210" i="1"/>
  <c r="G211" i="1"/>
  <c r="G212" i="1"/>
  <c r="G213" i="1"/>
  <c r="G206" i="1"/>
  <c r="G199" i="1"/>
  <c r="G200" i="1"/>
  <c r="G201" i="1"/>
  <c r="G202" i="1"/>
  <c r="G203" i="1"/>
  <c r="G204" i="1"/>
  <c r="G205" i="1"/>
  <c r="G198" i="1"/>
  <c r="G197" i="1"/>
  <c r="G196" i="1"/>
  <c r="G189" i="1"/>
  <c r="G190" i="1"/>
  <c r="G191" i="1"/>
  <c r="G192" i="1"/>
  <c r="G193" i="1"/>
  <c r="G194" i="1"/>
  <c r="G195" i="1"/>
  <c r="G188" i="1"/>
  <c r="G181" i="1"/>
  <c r="G182" i="1"/>
  <c r="G183" i="1"/>
  <c r="G184" i="1"/>
  <c r="G185" i="1"/>
  <c r="G186" i="1"/>
  <c r="G187" i="1"/>
  <c r="G180" i="1"/>
  <c r="G178" i="1"/>
  <c r="G173" i="1"/>
  <c r="G174" i="1"/>
  <c r="G175" i="1"/>
  <c r="G176" i="1"/>
  <c r="G177" i="1"/>
  <c r="G179" i="1"/>
  <c r="G172" i="1"/>
  <c r="G165" i="1"/>
  <c r="G166" i="1"/>
  <c r="G167" i="1"/>
  <c r="G168" i="1"/>
  <c r="G169" i="1"/>
  <c r="G170" i="1"/>
  <c r="G171" i="1"/>
  <c r="G164" i="1"/>
  <c r="G157" i="1"/>
  <c r="G158" i="1"/>
  <c r="G159" i="1"/>
  <c r="G160" i="1"/>
  <c r="G161" i="1"/>
  <c r="G162" i="1"/>
  <c r="G163" i="1"/>
  <c r="G156" i="1"/>
  <c r="G149" i="1"/>
  <c r="G150" i="1"/>
  <c r="G151" i="1"/>
  <c r="G152" i="1"/>
  <c r="G153" i="1"/>
  <c r="G154" i="1"/>
  <c r="G155" i="1"/>
  <c r="G148" i="1"/>
  <c r="G141" i="1"/>
  <c r="G142" i="1"/>
  <c r="G143" i="1"/>
  <c r="G144" i="1"/>
  <c r="G145" i="1"/>
  <c r="G146" i="1"/>
  <c r="G147" i="1"/>
  <c r="G140" i="1"/>
  <c r="G133" i="1"/>
  <c r="G134" i="1"/>
  <c r="G135" i="1"/>
  <c r="G136" i="1"/>
  <c r="G137" i="1"/>
  <c r="G138" i="1"/>
  <c r="G139" i="1"/>
  <c r="G132" i="1"/>
  <c r="G131" i="1"/>
  <c r="G125" i="1"/>
  <c r="G126" i="1"/>
  <c r="G127" i="1"/>
  <c r="G128" i="1"/>
  <c r="G129" i="1"/>
  <c r="G130" i="1"/>
  <c r="G124" i="1"/>
  <c r="G117" i="1"/>
  <c r="G118" i="1"/>
  <c r="G119" i="1"/>
  <c r="G120" i="1"/>
  <c r="G121" i="1"/>
  <c r="G122" i="1"/>
  <c r="G123" i="1"/>
  <c r="G116" i="1"/>
  <c r="G109" i="1"/>
  <c r="G110" i="1"/>
  <c r="G111" i="1"/>
  <c r="G112" i="1"/>
  <c r="G113" i="1"/>
  <c r="G114" i="1"/>
  <c r="G115" i="1"/>
  <c r="G108" i="1"/>
  <c r="G101" i="1"/>
  <c r="G102" i="1"/>
  <c r="G103" i="1"/>
  <c r="G104" i="1"/>
  <c r="G105" i="1"/>
  <c r="G106" i="1"/>
  <c r="G107" i="1"/>
  <c r="G100" i="1"/>
  <c r="G93" i="1"/>
  <c r="G94" i="1"/>
  <c r="G95" i="1"/>
  <c r="G96" i="1"/>
  <c r="G97" i="1"/>
  <c r="G98" i="1"/>
  <c r="G99" i="1"/>
  <c r="G92" i="1"/>
  <c r="G91" i="1"/>
  <c r="G85" i="1"/>
  <c r="G86" i="1"/>
  <c r="G87" i="1"/>
  <c r="G88" i="1"/>
  <c r="G89" i="1"/>
  <c r="G90" i="1"/>
  <c r="G84" i="1"/>
  <c r="G366" i="2"/>
  <c r="G359" i="1"/>
  <c r="G360" i="1"/>
  <c r="G361" i="1"/>
  <c r="G362" i="1"/>
  <c r="G363" i="1"/>
  <c r="G364" i="1"/>
  <c r="G365" i="1"/>
  <c r="G358" i="1"/>
  <c r="G77" i="1"/>
  <c r="G78" i="1"/>
  <c r="G79" i="1"/>
  <c r="G80" i="1"/>
  <c r="G81" i="1"/>
  <c r="G82" i="1"/>
  <c r="G83" i="1"/>
  <c r="G76" i="1"/>
  <c r="G69" i="1"/>
  <c r="G70" i="1"/>
  <c r="G71" i="1"/>
  <c r="G72" i="1"/>
  <c r="G73" i="1"/>
  <c r="G74" i="1"/>
  <c r="G75" i="1"/>
  <c r="G68" i="1"/>
  <c r="G61" i="1"/>
  <c r="G62" i="1"/>
  <c r="G63" i="1"/>
  <c r="G64" i="1"/>
  <c r="G65" i="1"/>
  <c r="G66" i="1"/>
  <c r="G67" i="1"/>
  <c r="G60" i="1"/>
  <c r="G60" i="2"/>
  <c r="G53" i="1"/>
  <c r="G54" i="1"/>
  <c r="G55" i="1"/>
  <c r="G56" i="1"/>
  <c r="G57" i="1"/>
  <c r="G58" i="1"/>
  <c r="G59" i="1"/>
  <c r="G52" i="1"/>
  <c r="G45" i="1"/>
  <c r="G46" i="1"/>
  <c r="G47" i="1"/>
  <c r="G48" i="1"/>
  <c r="G49" i="1"/>
  <c r="G50" i="1"/>
  <c r="G51" i="1"/>
  <c r="G44" i="1"/>
  <c r="G37" i="1"/>
  <c r="G38" i="1"/>
  <c r="G39" i="1"/>
  <c r="G40" i="1"/>
  <c r="G41" i="1"/>
  <c r="G42" i="1"/>
  <c r="G43" i="1"/>
  <c r="G36" i="1"/>
  <c r="G29" i="1"/>
  <c r="G30" i="1"/>
  <c r="G31" i="1"/>
  <c r="G32" i="1"/>
  <c r="G33" i="1"/>
  <c r="G34" i="1"/>
  <c r="G35" i="1"/>
  <c r="G28" i="1"/>
  <c r="G21" i="1"/>
  <c r="G22" i="1"/>
  <c r="G23" i="1"/>
  <c r="G24" i="1"/>
  <c r="G25" i="1"/>
  <c r="G26" i="1"/>
  <c r="G27" i="1"/>
  <c r="G20" i="1"/>
  <c r="G13" i="1"/>
  <c r="G14" i="1"/>
  <c r="G15" i="1"/>
  <c r="G16" i="1"/>
  <c r="G17" i="1"/>
  <c r="G18" i="1"/>
  <c r="G19" i="1"/>
  <c r="G12" i="1"/>
  <c r="G4" i="1"/>
  <c r="G5" i="1"/>
  <c r="G6" i="1"/>
  <c r="G7" i="1"/>
  <c r="G8" i="1"/>
  <c r="G9" i="1"/>
  <c r="G10" i="1"/>
  <c r="G11" i="1"/>
  <c r="L369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N356" i="1"/>
  <c r="P356" i="1" s="1"/>
  <c r="N357" i="1"/>
  <c r="P357" i="1" s="1"/>
  <c r="N358" i="1"/>
  <c r="P358" i="1" s="1"/>
  <c r="N359" i="1"/>
  <c r="P359" i="1" s="1"/>
  <c r="N360" i="1"/>
  <c r="P360" i="1" s="1"/>
  <c r="N361" i="1"/>
  <c r="P361" i="1" s="1"/>
  <c r="N362" i="1"/>
  <c r="P362" i="1" s="1"/>
  <c r="N363" i="1"/>
  <c r="P363" i="1" s="1"/>
  <c r="N364" i="1"/>
  <c r="P364" i="1" s="1"/>
  <c r="N365" i="1"/>
  <c r="P365" i="1" s="1"/>
  <c r="N366" i="1"/>
  <c r="P366" i="1" s="1"/>
  <c r="N367" i="1"/>
  <c r="P367" i="1" s="1"/>
  <c r="N368" i="1"/>
  <c r="P368" i="1" s="1"/>
  <c r="N331" i="1"/>
  <c r="P331" i="1" s="1"/>
  <c r="N332" i="1"/>
  <c r="P332" i="1" s="1"/>
  <c r="N333" i="1"/>
  <c r="P333" i="1" s="1"/>
  <c r="N334" i="1"/>
  <c r="P334" i="1" s="1"/>
  <c r="N335" i="1"/>
  <c r="P335" i="1" s="1"/>
  <c r="N336" i="1"/>
  <c r="P336" i="1" s="1"/>
  <c r="N337" i="1"/>
  <c r="P337" i="1" s="1"/>
  <c r="N338" i="1"/>
  <c r="P338" i="1" s="1"/>
  <c r="N339" i="1"/>
  <c r="P339" i="1" s="1"/>
  <c r="N340" i="1"/>
  <c r="P340" i="1" s="1"/>
  <c r="N341" i="1"/>
  <c r="P341" i="1" s="1"/>
  <c r="N342" i="1"/>
  <c r="P342" i="1" s="1"/>
  <c r="N343" i="1"/>
  <c r="P343" i="1" s="1"/>
  <c r="N344" i="1"/>
  <c r="P344" i="1" s="1"/>
  <c r="N345" i="1"/>
  <c r="P345" i="1" s="1"/>
  <c r="N346" i="1"/>
  <c r="P346" i="1" s="1"/>
  <c r="N347" i="1"/>
  <c r="P347" i="1" s="1"/>
  <c r="N348" i="1"/>
  <c r="P348" i="1" s="1"/>
  <c r="N349" i="1"/>
  <c r="P349" i="1" s="1"/>
  <c r="N350" i="1"/>
  <c r="P350" i="1" s="1"/>
  <c r="N351" i="1"/>
  <c r="P351" i="1" s="1"/>
  <c r="N352" i="1"/>
  <c r="P352" i="1" s="1"/>
  <c r="N353" i="1"/>
  <c r="P353" i="1" s="1"/>
  <c r="N354" i="1"/>
  <c r="P354" i="1" s="1"/>
  <c r="N355" i="1"/>
  <c r="P355" i="1" s="1"/>
  <c r="N299" i="1"/>
  <c r="P299" i="1" s="1"/>
  <c r="N300" i="1"/>
  <c r="P300" i="1" s="1"/>
  <c r="N301" i="1"/>
  <c r="P301" i="1" s="1"/>
  <c r="N302" i="1"/>
  <c r="P302" i="1" s="1"/>
  <c r="N303" i="1"/>
  <c r="P303" i="1" s="1"/>
  <c r="N304" i="1"/>
  <c r="P304" i="1" s="1"/>
  <c r="N305" i="1"/>
  <c r="P305" i="1" s="1"/>
  <c r="N306" i="1"/>
  <c r="P306" i="1" s="1"/>
  <c r="N307" i="1"/>
  <c r="P307" i="1" s="1"/>
  <c r="N308" i="1"/>
  <c r="P308" i="1" s="1"/>
  <c r="N309" i="1"/>
  <c r="P309" i="1" s="1"/>
  <c r="N310" i="1"/>
  <c r="P310" i="1" s="1"/>
  <c r="N311" i="1"/>
  <c r="P311" i="1" s="1"/>
  <c r="N312" i="1"/>
  <c r="P312" i="1" s="1"/>
  <c r="N313" i="1"/>
  <c r="P313" i="1" s="1"/>
  <c r="N314" i="1"/>
  <c r="P314" i="1" s="1"/>
  <c r="N315" i="1"/>
  <c r="P315" i="1" s="1"/>
  <c r="N316" i="1"/>
  <c r="P316" i="1" s="1"/>
  <c r="N317" i="1"/>
  <c r="P317" i="1" s="1"/>
  <c r="N318" i="1"/>
  <c r="P318" i="1" s="1"/>
  <c r="N319" i="1"/>
  <c r="P319" i="1" s="1"/>
  <c r="N320" i="1"/>
  <c r="P320" i="1" s="1"/>
  <c r="N321" i="1"/>
  <c r="P321" i="1" s="1"/>
  <c r="N322" i="1"/>
  <c r="P322" i="1" s="1"/>
  <c r="N323" i="1"/>
  <c r="P323" i="1" s="1"/>
  <c r="N324" i="1"/>
  <c r="P324" i="1" s="1"/>
  <c r="N325" i="1"/>
  <c r="P325" i="1" s="1"/>
  <c r="N326" i="1"/>
  <c r="P326" i="1" s="1"/>
  <c r="N327" i="1"/>
  <c r="P327" i="1" s="1"/>
  <c r="N328" i="1"/>
  <c r="P328" i="1" s="1"/>
  <c r="N329" i="1"/>
  <c r="P329" i="1" s="1"/>
  <c r="N330" i="1"/>
  <c r="P330" i="1" s="1"/>
  <c r="N5" i="1"/>
  <c r="P5" i="1" s="1"/>
  <c r="N6" i="1"/>
  <c r="P6" i="1" s="1"/>
  <c r="N7" i="1"/>
  <c r="P7" i="1" s="1"/>
  <c r="N8" i="1"/>
  <c r="P8" i="1" s="1"/>
  <c r="N9" i="1"/>
  <c r="P9" i="1" s="1"/>
  <c r="N10" i="1"/>
  <c r="P10" i="1" s="1"/>
  <c r="N11" i="1"/>
  <c r="P11" i="1" s="1"/>
  <c r="N12" i="1"/>
  <c r="P12" i="1" s="1"/>
  <c r="N13" i="1"/>
  <c r="P13" i="1" s="1"/>
  <c r="N14" i="1"/>
  <c r="P14" i="1" s="1"/>
  <c r="N15" i="1"/>
  <c r="P15" i="1" s="1"/>
  <c r="N16" i="1"/>
  <c r="P16" i="1" s="1"/>
  <c r="N17" i="1"/>
  <c r="P17" i="1" s="1"/>
  <c r="N18" i="1"/>
  <c r="P18" i="1" s="1"/>
  <c r="N19" i="1"/>
  <c r="P19" i="1" s="1"/>
  <c r="N20" i="1"/>
  <c r="P20" i="1" s="1"/>
  <c r="N21" i="1"/>
  <c r="P21" i="1" s="1"/>
  <c r="N22" i="1"/>
  <c r="P22" i="1" s="1"/>
  <c r="N23" i="1"/>
  <c r="P23" i="1" s="1"/>
  <c r="N24" i="1"/>
  <c r="P24" i="1" s="1"/>
  <c r="N25" i="1"/>
  <c r="P25" i="1" s="1"/>
  <c r="N26" i="1"/>
  <c r="P26" i="1" s="1"/>
  <c r="N27" i="1"/>
  <c r="P27" i="1" s="1"/>
  <c r="N28" i="1"/>
  <c r="P28" i="1" s="1"/>
  <c r="N29" i="1"/>
  <c r="P29" i="1" s="1"/>
  <c r="N30" i="1"/>
  <c r="P30" i="1" s="1"/>
  <c r="N31" i="1"/>
  <c r="P31" i="1" s="1"/>
  <c r="N32" i="1"/>
  <c r="P32" i="1" s="1"/>
  <c r="N33" i="1"/>
  <c r="P33" i="1" s="1"/>
  <c r="N34" i="1"/>
  <c r="P34" i="1" s="1"/>
  <c r="N35" i="1"/>
  <c r="P35" i="1" s="1"/>
  <c r="N36" i="1"/>
  <c r="P36" i="1" s="1"/>
  <c r="N37" i="1"/>
  <c r="P37" i="1" s="1"/>
  <c r="N38" i="1"/>
  <c r="P38" i="1" s="1"/>
  <c r="N39" i="1"/>
  <c r="P39" i="1" s="1"/>
  <c r="N40" i="1"/>
  <c r="P40" i="1" s="1"/>
  <c r="N41" i="1"/>
  <c r="P41" i="1" s="1"/>
  <c r="N42" i="1"/>
  <c r="P42" i="1" s="1"/>
  <c r="N43" i="1"/>
  <c r="P43" i="1" s="1"/>
  <c r="N44" i="1"/>
  <c r="P44" i="1" s="1"/>
  <c r="N45" i="1"/>
  <c r="P45" i="1" s="1"/>
  <c r="N46" i="1"/>
  <c r="P46" i="1" s="1"/>
  <c r="N47" i="1"/>
  <c r="P47" i="1" s="1"/>
  <c r="N48" i="1"/>
  <c r="P48" i="1" s="1"/>
  <c r="N49" i="1"/>
  <c r="P49" i="1" s="1"/>
  <c r="N50" i="1"/>
  <c r="P50" i="1" s="1"/>
  <c r="N51" i="1"/>
  <c r="P51" i="1" s="1"/>
  <c r="N52" i="1"/>
  <c r="P52" i="1" s="1"/>
  <c r="N53" i="1"/>
  <c r="P53" i="1" s="1"/>
  <c r="N54" i="1"/>
  <c r="P54" i="1" s="1"/>
  <c r="N55" i="1"/>
  <c r="P55" i="1" s="1"/>
  <c r="N56" i="1"/>
  <c r="P56" i="1" s="1"/>
  <c r="N57" i="1"/>
  <c r="P57" i="1" s="1"/>
  <c r="N58" i="1"/>
  <c r="P58" i="1" s="1"/>
  <c r="N59" i="1"/>
  <c r="P59" i="1" s="1"/>
  <c r="N60" i="1"/>
  <c r="P60" i="1" s="1"/>
  <c r="N61" i="1"/>
  <c r="P61" i="1" s="1"/>
  <c r="N62" i="1"/>
  <c r="P62" i="1" s="1"/>
  <c r="N63" i="1"/>
  <c r="P63" i="1" s="1"/>
  <c r="N64" i="1"/>
  <c r="P64" i="1" s="1"/>
  <c r="N65" i="1"/>
  <c r="P65" i="1" s="1"/>
  <c r="N66" i="1"/>
  <c r="P66" i="1" s="1"/>
  <c r="N67" i="1"/>
  <c r="P67" i="1" s="1"/>
  <c r="N68" i="1"/>
  <c r="P68" i="1" s="1"/>
  <c r="N69" i="1"/>
  <c r="P69" i="1" s="1"/>
  <c r="N70" i="1"/>
  <c r="P70" i="1" s="1"/>
  <c r="N71" i="1"/>
  <c r="P71" i="1" s="1"/>
  <c r="N72" i="1"/>
  <c r="P72" i="1" s="1"/>
  <c r="N73" i="1"/>
  <c r="P73" i="1" s="1"/>
  <c r="N74" i="1"/>
  <c r="P74" i="1" s="1"/>
  <c r="N75" i="1"/>
  <c r="P75" i="1" s="1"/>
  <c r="N76" i="1"/>
  <c r="P76" i="1" s="1"/>
  <c r="N77" i="1"/>
  <c r="P77" i="1" s="1"/>
  <c r="N78" i="1"/>
  <c r="P78" i="1" s="1"/>
  <c r="N79" i="1"/>
  <c r="P79" i="1" s="1"/>
  <c r="N80" i="1"/>
  <c r="P80" i="1" s="1"/>
  <c r="N81" i="1"/>
  <c r="P81" i="1" s="1"/>
  <c r="N82" i="1"/>
  <c r="P82" i="1" s="1"/>
  <c r="N83" i="1"/>
  <c r="P83" i="1" s="1"/>
  <c r="N84" i="1"/>
  <c r="P84" i="1" s="1"/>
  <c r="N85" i="1"/>
  <c r="P85" i="1" s="1"/>
  <c r="N86" i="1"/>
  <c r="P86" i="1" s="1"/>
  <c r="N87" i="1"/>
  <c r="P87" i="1" s="1"/>
  <c r="N88" i="1"/>
  <c r="P88" i="1" s="1"/>
  <c r="N89" i="1"/>
  <c r="P89" i="1" s="1"/>
  <c r="N90" i="1"/>
  <c r="P90" i="1" s="1"/>
  <c r="N91" i="1"/>
  <c r="P91" i="1" s="1"/>
  <c r="N92" i="1"/>
  <c r="P92" i="1" s="1"/>
  <c r="N93" i="1"/>
  <c r="P93" i="1" s="1"/>
  <c r="N94" i="1"/>
  <c r="P94" i="1" s="1"/>
  <c r="N95" i="1"/>
  <c r="P95" i="1" s="1"/>
  <c r="N96" i="1"/>
  <c r="P96" i="1" s="1"/>
  <c r="N97" i="1"/>
  <c r="P97" i="1" s="1"/>
  <c r="N98" i="1"/>
  <c r="P98" i="1" s="1"/>
  <c r="N99" i="1"/>
  <c r="P99" i="1" s="1"/>
  <c r="N100" i="1"/>
  <c r="P100" i="1" s="1"/>
  <c r="N101" i="1"/>
  <c r="P101" i="1" s="1"/>
  <c r="N102" i="1"/>
  <c r="P102" i="1" s="1"/>
  <c r="N103" i="1"/>
  <c r="P103" i="1" s="1"/>
  <c r="N104" i="1"/>
  <c r="P104" i="1" s="1"/>
  <c r="N105" i="1"/>
  <c r="P105" i="1" s="1"/>
  <c r="N106" i="1"/>
  <c r="P106" i="1" s="1"/>
  <c r="N107" i="1"/>
  <c r="P107" i="1" s="1"/>
  <c r="N108" i="1"/>
  <c r="P108" i="1" s="1"/>
  <c r="N109" i="1"/>
  <c r="P109" i="1" s="1"/>
  <c r="N110" i="1"/>
  <c r="P110" i="1" s="1"/>
  <c r="N111" i="1"/>
  <c r="P111" i="1" s="1"/>
  <c r="N112" i="1"/>
  <c r="P112" i="1" s="1"/>
  <c r="N113" i="1"/>
  <c r="P113" i="1" s="1"/>
  <c r="N114" i="1"/>
  <c r="P114" i="1" s="1"/>
  <c r="N115" i="1"/>
  <c r="P115" i="1" s="1"/>
  <c r="N116" i="1"/>
  <c r="P116" i="1" s="1"/>
  <c r="N117" i="1"/>
  <c r="P117" i="1" s="1"/>
  <c r="N118" i="1"/>
  <c r="P118" i="1" s="1"/>
  <c r="N119" i="1"/>
  <c r="P119" i="1" s="1"/>
  <c r="N120" i="1"/>
  <c r="P120" i="1" s="1"/>
  <c r="N121" i="1"/>
  <c r="P121" i="1" s="1"/>
  <c r="N122" i="1"/>
  <c r="P122" i="1" s="1"/>
  <c r="N123" i="1"/>
  <c r="P123" i="1" s="1"/>
  <c r="N124" i="1"/>
  <c r="P124" i="1" s="1"/>
  <c r="N125" i="1"/>
  <c r="P125" i="1" s="1"/>
  <c r="N126" i="1"/>
  <c r="P126" i="1" s="1"/>
  <c r="N127" i="1"/>
  <c r="P127" i="1" s="1"/>
  <c r="N128" i="1"/>
  <c r="P128" i="1" s="1"/>
  <c r="N129" i="1"/>
  <c r="P129" i="1" s="1"/>
  <c r="N130" i="1"/>
  <c r="P130" i="1" s="1"/>
  <c r="N131" i="1"/>
  <c r="P131" i="1" s="1"/>
  <c r="N132" i="1"/>
  <c r="P132" i="1" s="1"/>
  <c r="N133" i="1"/>
  <c r="P133" i="1" s="1"/>
  <c r="N134" i="1"/>
  <c r="P134" i="1" s="1"/>
  <c r="N135" i="1"/>
  <c r="P135" i="1" s="1"/>
  <c r="N136" i="1"/>
  <c r="P136" i="1" s="1"/>
  <c r="N137" i="1"/>
  <c r="P137" i="1" s="1"/>
  <c r="N138" i="1"/>
  <c r="P138" i="1" s="1"/>
  <c r="N139" i="1"/>
  <c r="P139" i="1" s="1"/>
  <c r="N140" i="1"/>
  <c r="P140" i="1" s="1"/>
  <c r="N141" i="1"/>
  <c r="P141" i="1" s="1"/>
  <c r="N142" i="1"/>
  <c r="P142" i="1" s="1"/>
  <c r="N143" i="1"/>
  <c r="P143" i="1" s="1"/>
  <c r="N144" i="1"/>
  <c r="P144" i="1" s="1"/>
  <c r="N145" i="1"/>
  <c r="P145" i="1" s="1"/>
  <c r="N146" i="1"/>
  <c r="P146" i="1" s="1"/>
  <c r="N147" i="1"/>
  <c r="P147" i="1" s="1"/>
  <c r="N148" i="1"/>
  <c r="P148" i="1" s="1"/>
  <c r="N149" i="1"/>
  <c r="P149" i="1" s="1"/>
  <c r="N150" i="1"/>
  <c r="P150" i="1" s="1"/>
  <c r="N151" i="1"/>
  <c r="P151" i="1" s="1"/>
  <c r="N152" i="1"/>
  <c r="P152" i="1" s="1"/>
  <c r="N153" i="1"/>
  <c r="P153" i="1" s="1"/>
  <c r="N154" i="1"/>
  <c r="P154" i="1" s="1"/>
  <c r="N155" i="1"/>
  <c r="P155" i="1" s="1"/>
  <c r="N156" i="1"/>
  <c r="P156" i="1" s="1"/>
  <c r="N157" i="1"/>
  <c r="P157" i="1" s="1"/>
  <c r="N158" i="1"/>
  <c r="P158" i="1" s="1"/>
  <c r="N159" i="1"/>
  <c r="P159" i="1" s="1"/>
  <c r="N160" i="1"/>
  <c r="P160" i="1" s="1"/>
  <c r="N161" i="1"/>
  <c r="P161" i="1" s="1"/>
  <c r="N162" i="1"/>
  <c r="P162" i="1" s="1"/>
  <c r="N163" i="1"/>
  <c r="P163" i="1" s="1"/>
  <c r="N164" i="1"/>
  <c r="P164" i="1" s="1"/>
  <c r="N165" i="1"/>
  <c r="P165" i="1" s="1"/>
  <c r="N166" i="1"/>
  <c r="P166" i="1" s="1"/>
  <c r="N167" i="1"/>
  <c r="P167" i="1" s="1"/>
  <c r="N168" i="1"/>
  <c r="P168" i="1" s="1"/>
  <c r="N169" i="1"/>
  <c r="P169" i="1" s="1"/>
  <c r="N170" i="1"/>
  <c r="P170" i="1" s="1"/>
  <c r="N171" i="1"/>
  <c r="P171" i="1" s="1"/>
  <c r="N172" i="1"/>
  <c r="P172" i="1" s="1"/>
  <c r="N173" i="1"/>
  <c r="P173" i="1" s="1"/>
  <c r="N174" i="1"/>
  <c r="P174" i="1" s="1"/>
  <c r="N175" i="1"/>
  <c r="P175" i="1" s="1"/>
  <c r="N176" i="1"/>
  <c r="P176" i="1" s="1"/>
  <c r="N177" i="1"/>
  <c r="P177" i="1" s="1"/>
  <c r="N178" i="1"/>
  <c r="P178" i="1" s="1"/>
  <c r="N179" i="1"/>
  <c r="P179" i="1" s="1"/>
  <c r="N180" i="1"/>
  <c r="P180" i="1" s="1"/>
  <c r="N181" i="1"/>
  <c r="P181" i="1" s="1"/>
  <c r="N182" i="1"/>
  <c r="P182" i="1" s="1"/>
  <c r="N183" i="1"/>
  <c r="P183" i="1" s="1"/>
  <c r="N184" i="1"/>
  <c r="P184" i="1" s="1"/>
  <c r="N185" i="1"/>
  <c r="P185" i="1" s="1"/>
  <c r="N186" i="1"/>
  <c r="P186" i="1" s="1"/>
  <c r="N187" i="1"/>
  <c r="P187" i="1" s="1"/>
  <c r="N188" i="1"/>
  <c r="P188" i="1" s="1"/>
  <c r="N189" i="1"/>
  <c r="P189" i="1" s="1"/>
  <c r="N190" i="1"/>
  <c r="P190" i="1" s="1"/>
  <c r="N191" i="1"/>
  <c r="P191" i="1" s="1"/>
  <c r="N192" i="1"/>
  <c r="P192" i="1" s="1"/>
  <c r="N193" i="1"/>
  <c r="P193" i="1" s="1"/>
  <c r="N194" i="1"/>
  <c r="P194" i="1" s="1"/>
  <c r="N195" i="1"/>
  <c r="P195" i="1" s="1"/>
  <c r="N196" i="1"/>
  <c r="P196" i="1" s="1"/>
  <c r="N197" i="1"/>
  <c r="P197" i="1" s="1"/>
  <c r="N198" i="1"/>
  <c r="P198" i="1" s="1"/>
  <c r="N199" i="1"/>
  <c r="P199" i="1" s="1"/>
  <c r="N200" i="1"/>
  <c r="P200" i="1" s="1"/>
  <c r="N201" i="1"/>
  <c r="P201" i="1" s="1"/>
  <c r="N202" i="1"/>
  <c r="P202" i="1" s="1"/>
  <c r="N203" i="1"/>
  <c r="P203" i="1" s="1"/>
  <c r="N204" i="1"/>
  <c r="P204" i="1" s="1"/>
  <c r="N205" i="1"/>
  <c r="P205" i="1" s="1"/>
  <c r="N206" i="1"/>
  <c r="P206" i="1" s="1"/>
  <c r="N207" i="1"/>
  <c r="P207" i="1" s="1"/>
  <c r="N208" i="1"/>
  <c r="P208" i="1" s="1"/>
  <c r="N209" i="1"/>
  <c r="P209" i="1" s="1"/>
  <c r="N210" i="1"/>
  <c r="P210" i="1" s="1"/>
  <c r="N211" i="1"/>
  <c r="P211" i="1" s="1"/>
  <c r="N212" i="1"/>
  <c r="P212" i="1" s="1"/>
  <c r="N213" i="1"/>
  <c r="P213" i="1" s="1"/>
  <c r="N214" i="1"/>
  <c r="P214" i="1" s="1"/>
  <c r="N215" i="1"/>
  <c r="P215" i="1" s="1"/>
  <c r="N216" i="1"/>
  <c r="P216" i="1" s="1"/>
  <c r="N217" i="1"/>
  <c r="P217" i="1" s="1"/>
  <c r="N218" i="1"/>
  <c r="P218" i="1" s="1"/>
  <c r="N219" i="1"/>
  <c r="P219" i="1" s="1"/>
  <c r="N220" i="1"/>
  <c r="P220" i="1" s="1"/>
  <c r="N221" i="1"/>
  <c r="P221" i="1" s="1"/>
  <c r="N222" i="1"/>
  <c r="P222" i="1" s="1"/>
  <c r="N223" i="1"/>
  <c r="P223" i="1" s="1"/>
  <c r="N224" i="1"/>
  <c r="P224" i="1" s="1"/>
  <c r="N225" i="1"/>
  <c r="P225" i="1" s="1"/>
  <c r="N226" i="1"/>
  <c r="P226" i="1" s="1"/>
  <c r="N227" i="1"/>
  <c r="P227" i="1" s="1"/>
  <c r="N228" i="1"/>
  <c r="P228" i="1" s="1"/>
  <c r="N229" i="1"/>
  <c r="P229" i="1" s="1"/>
  <c r="N230" i="1"/>
  <c r="P230" i="1" s="1"/>
  <c r="N231" i="1"/>
  <c r="P231" i="1" s="1"/>
  <c r="N232" i="1"/>
  <c r="P232" i="1" s="1"/>
  <c r="N233" i="1"/>
  <c r="P233" i="1" s="1"/>
  <c r="N234" i="1"/>
  <c r="P234" i="1" s="1"/>
  <c r="N235" i="1"/>
  <c r="P235" i="1" s="1"/>
  <c r="N236" i="1"/>
  <c r="P236" i="1" s="1"/>
  <c r="N237" i="1"/>
  <c r="P237" i="1" s="1"/>
  <c r="N238" i="1"/>
  <c r="P238" i="1" s="1"/>
  <c r="N239" i="1"/>
  <c r="P239" i="1" s="1"/>
  <c r="N240" i="1"/>
  <c r="P240" i="1" s="1"/>
  <c r="N241" i="1"/>
  <c r="P241" i="1" s="1"/>
  <c r="N242" i="1"/>
  <c r="P242" i="1" s="1"/>
  <c r="N243" i="1"/>
  <c r="P243" i="1" s="1"/>
  <c r="N244" i="1"/>
  <c r="P244" i="1" s="1"/>
  <c r="N245" i="1"/>
  <c r="P245" i="1" s="1"/>
  <c r="N246" i="1"/>
  <c r="P246" i="1" s="1"/>
  <c r="N247" i="1"/>
  <c r="P247" i="1" s="1"/>
  <c r="N248" i="1"/>
  <c r="P248" i="1" s="1"/>
  <c r="N249" i="1"/>
  <c r="P249" i="1" s="1"/>
  <c r="N250" i="1"/>
  <c r="P250" i="1" s="1"/>
  <c r="N251" i="1"/>
  <c r="P251" i="1" s="1"/>
  <c r="N252" i="1"/>
  <c r="P252" i="1" s="1"/>
  <c r="N253" i="1"/>
  <c r="P253" i="1" s="1"/>
  <c r="N254" i="1"/>
  <c r="P254" i="1" s="1"/>
  <c r="N255" i="1"/>
  <c r="P255" i="1" s="1"/>
  <c r="N256" i="1"/>
  <c r="P256" i="1" s="1"/>
  <c r="N257" i="1"/>
  <c r="P257" i="1" s="1"/>
  <c r="N258" i="1"/>
  <c r="P258" i="1" s="1"/>
  <c r="N259" i="1"/>
  <c r="P259" i="1" s="1"/>
  <c r="N260" i="1"/>
  <c r="P260" i="1" s="1"/>
  <c r="N261" i="1"/>
  <c r="P261" i="1" s="1"/>
  <c r="N262" i="1"/>
  <c r="P262" i="1" s="1"/>
  <c r="N263" i="1"/>
  <c r="P263" i="1" s="1"/>
  <c r="N264" i="1"/>
  <c r="P264" i="1" s="1"/>
  <c r="N265" i="1"/>
  <c r="P265" i="1" s="1"/>
  <c r="N266" i="1"/>
  <c r="P266" i="1" s="1"/>
  <c r="N267" i="1"/>
  <c r="P267" i="1" s="1"/>
  <c r="N268" i="1"/>
  <c r="P268" i="1" s="1"/>
  <c r="N269" i="1"/>
  <c r="P269" i="1" s="1"/>
  <c r="N270" i="1"/>
  <c r="P270" i="1" s="1"/>
  <c r="N271" i="1"/>
  <c r="P271" i="1" s="1"/>
  <c r="N272" i="1"/>
  <c r="P272" i="1" s="1"/>
  <c r="N273" i="1"/>
  <c r="P273" i="1" s="1"/>
  <c r="N274" i="1"/>
  <c r="P274" i="1" s="1"/>
  <c r="N275" i="1"/>
  <c r="P275" i="1" s="1"/>
  <c r="N276" i="1"/>
  <c r="P276" i="1" s="1"/>
  <c r="N277" i="1"/>
  <c r="P277" i="1" s="1"/>
  <c r="N278" i="1"/>
  <c r="P278" i="1" s="1"/>
  <c r="N279" i="1"/>
  <c r="P279" i="1" s="1"/>
  <c r="N280" i="1"/>
  <c r="P280" i="1" s="1"/>
  <c r="N281" i="1"/>
  <c r="P281" i="1" s="1"/>
  <c r="N282" i="1"/>
  <c r="P282" i="1" s="1"/>
  <c r="N283" i="1"/>
  <c r="P283" i="1" s="1"/>
  <c r="N284" i="1"/>
  <c r="P284" i="1" s="1"/>
  <c r="N285" i="1"/>
  <c r="P285" i="1" s="1"/>
  <c r="N286" i="1"/>
  <c r="P286" i="1" s="1"/>
  <c r="N287" i="1"/>
  <c r="P287" i="1" s="1"/>
  <c r="N288" i="1"/>
  <c r="P288" i="1" s="1"/>
  <c r="N289" i="1"/>
  <c r="P289" i="1" s="1"/>
  <c r="N290" i="1"/>
  <c r="P290" i="1" s="1"/>
  <c r="N291" i="1"/>
  <c r="P291" i="1" s="1"/>
  <c r="N292" i="1"/>
  <c r="P292" i="1" s="1"/>
  <c r="N293" i="1"/>
  <c r="P293" i="1" s="1"/>
  <c r="N294" i="1"/>
  <c r="P294" i="1" s="1"/>
  <c r="N295" i="1"/>
  <c r="P295" i="1" s="1"/>
  <c r="N296" i="1"/>
  <c r="P296" i="1" s="1"/>
  <c r="N297" i="1"/>
  <c r="P297" i="1" s="1"/>
  <c r="N298" i="1"/>
  <c r="P298" i="1" s="1"/>
  <c r="N4" i="1"/>
  <c r="C367" i="1"/>
  <c r="C368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4" i="1"/>
  <c r="N369" i="1" l="1"/>
  <c r="P4" i="1"/>
</calcChain>
</file>

<file path=xl/sharedStrings.xml><?xml version="1.0" encoding="utf-8"?>
<sst xmlns="http://schemas.openxmlformats.org/spreadsheetml/2006/main" count="1910" uniqueCount="204">
  <si>
    <t>Sum of Final Price</t>
  </si>
  <si>
    <t>Sales Rep</t>
  </si>
  <si>
    <t>Month</t>
  </si>
  <si>
    <t>Adity Rao</t>
  </si>
  <si>
    <t>Aman Shah</t>
  </si>
  <si>
    <t>Amol Sharma</t>
  </si>
  <si>
    <t>Komal Sharma</t>
  </si>
  <si>
    <t>Neha Singh</t>
  </si>
  <si>
    <t>Priya Mehta</t>
  </si>
  <si>
    <t>Rajesh Nair</t>
  </si>
  <si>
    <t>Rohit Kholi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</si>
  <si>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</si>
  <si>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</si>
  <si>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</si>
  <si>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</si>
  <si>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</si>
  <si>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</si>
  <si>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</si>
  <si>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</si>
  <si>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</si>
  <si>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</si>
  <si>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</si>
  <si>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</si>
  <si>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</si>
  <si>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Medicare Pharma Distributors Pvt. Ltd.</t>
  </si>
  <si>
    <t>Invoice No</t>
  </si>
  <si>
    <t>Date</t>
  </si>
  <si>
    <t>Region</t>
  </si>
  <si>
    <t>Customer ID</t>
  </si>
  <si>
    <t>Company Name</t>
  </si>
  <si>
    <t>Company Representative Name</t>
  </si>
  <si>
    <t>Products</t>
  </si>
  <si>
    <t>Batch No</t>
  </si>
  <si>
    <t>Expiry</t>
  </si>
  <si>
    <t>Qty</t>
  </si>
  <si>
    <t>Price/Unit</t>
  </si>
  <si>
    <t>Total</t>
  </si>
  <si>
    <t>Discount</t>
  </si>
  <si>
    <t>Final Price</t>
  </si>
  <si>
    <t>North</t>
  </si>
  <si>
    <t>C101</t>
  </si>
  <si>
    <t>Paracetamol 650mg</t>
  </si>
  <si>
    <t>B23P650</t>
  </si>
  <si>
    <t>West</t>
  </si>
  <si>
    <t>C132</t>
  </si>
  <si>
    <t>Cough Syrup 100ml</t>
  </si>
  <si>
    <t>B19CS01</t>
  </si>
  <si>
    <t>South</t>
  </si>
  <si>
    <t>C140</t>
  </si>
  <si>
    <t>Vitamin  C Tablets</t>
  </si>
  <si>
    <t>B22VC10</t>
  </si>
  <si>
    <t>East</t>
  </si>
  <si>
    <t>C150</t>
  </si>
  <si>
    <t>Amoxicillin 500mg</t>
  </si>
  <si>
    <t>B21AX50</t>
  </si>
  <si>
    <t>C157</t>
  </si>
  <si>
    <t>Hand Sanitizer 200ml</t>
  </si>
  <si>
    <t>B20HS20</t>
  </si>
  <si>
    <t>C201</t>
  </si>
  <si>
    <t>ORS Powder</t>
  </si>
  <si>
    <t>B23OR01</t>
  </si>
  <si>
    <t>C245</t>
  </si>
  <si>
    <t>Zinc Tablets</t>
  </si>
  <si>
    <t>B22ZC05</t>
  </si>
  <si>
    <t>C160</t>
  </si>
  <si>
    <t>Vitamin D3 60k</t>
  </si>
  <si>
    <t>B21VD60</t>
  </si>
  <si>
    <t>Antacid Tablets</t>
  </si>
  <si>
    <t>B21AC04</t>
  </si>
  <si>
    <t>Ciprofloxacin 500mg</t>
  </si>
  <si>
    <t>B23CF50</t>
  </si>
  <si>
    <t>Antibiotic Ointment</t>
  </si>
  <si>
    <t>B23AO10</t>
  </si>
  <si>
    <t>B23P651</t>
  </si>
  <si>
    <t>B19CS02</t>
  </si>
  <si>
    <t>B22VC11</t>
  </si>
  <si>
    <t>B21AX51</t>
  </si>
  <si>
    <t>B20HS21</t>
  </si>
  <si>
    <t>B23OR02</t>
  </si>
  <si>
    <t>B22ZC06</t>
  </si>
  <si>
    <t>B21VD61</t>
  </si>
  <si>
    <t>B21AC05</t>
  </si>
  <si>
    <t>B23CF51</t>
  </si>
  <si>
    <t>B23AO11</t>
  </si>
  <si>
    <t>B23P652</t>
  </si>
  <si>
    <t>B19CS03</t>
  </si>
  <si>
    <t>B22VC12</t>
  </si>
  <si>
    <t>B21AX52</t>
  </si>
  <si>
    <t>B20HS22</t>
  </si>
  <si>
    <t>B23OR03</t>
  </si>
  <si>
    <t>B22ZC07</t>
  </si>
  <si>
    <t>B21VD62</t>
  </si>
  <si>
    <t>B21AC06</t>
  </si>
  <si>
    <t>B23CF52</t>
  </si>
  <si>
    <t>B23AO12</t>
  </si>
  <si>
    <t>B23P653</t>
  </si>
  <si>
    <t>B19CS04</t>
  </si>
  <si>
    <t>B22VC13</t>
  </si>
  <si>
    <t>B21AX53</t>
  </si>
  <si>
    <t>B20HS23</t>
  </si>
  <si>
    <t>B23OR04</t>
  </si>
  <si>
    <t>B22ZC08</t>
  </si>
  <si>
    <t>B21VD63</t>
  </si>
  <si>
    <t>B21AC07</t>
  </si>
  <si>
    <t>B23CF53</t>
  </si>
  <si>
    <t>B23AO13</t>
  </si>
  <si>
    <t>B23P654</t>
  </si>
  <si>
    <t>B19CS05</t>
  </si>
  <si>
    <t>B22VC14</t>
  </si>
  <si>
    <t>B21AX54</t>
  </si>
  <si>
    <t>B20HS24</t>
  </si>
  <si>
    <t>B23OR05</t>
  </si>
  <si>
    <t>B22ZC09</t>
  </si>
  <si>
    <t>B21VD64</t>
  </si>
  <si>
    <t>B21AC08</t>
  </si>
  <si>
    <t>B23CF54</t>
  </si>
  <si>
    <t>B23AO14</t>
  </si>
  <si>
    <t>B23P655</t>
  </si>
  <si>
    <t>B19CS06</t>
  </si>
  <si>
    <t>B22VC15</t>
  </si>
  <si>
    <t>B21AX55</t>
  </si>
  <si>
    <t>B20HS25</t>
  </si>
  <si>
    <t>B23OR06</t>
  </si>
  <si>
    <t>B22ZC10</t>
  </si>
  <si>
    <t>B21VD65</t>
  </si>
  <si>
    <t>B21AC09</t>
  </si>
  <si>
    <t>B23CF55</t>
  </si>
  <si>
    <t>B23AO15</t>
  </si>
  <si>
    <t>B23P656</t>
  </si>
  <si>
    <t>B19CS07</t>
  </si>
  <si>
    <t>B22VC16</t>
  </si>
  <si>
    <t>B21AX56</t>
  </si>
  <si>
    <t>B20HS26</t>
  </si>
  <si>
    <t>B23OR07</t>
  </si>
  <si>
    <t>B22ZC11</t>
  </si>
  <si>
    <t>B21VD66</t>
  </si>
  <si>
    <t>B21AC10</t>
  </si>
  <si>
    <t>B23CF56</t>
  </si>
  <si>
    <t>B23AO16</t>
  </si>
  <si>
    <t>B23P657</t>
  </si>
  <si>
    <t>B19CS08</t>
  </si>
  <si>
    <t>B22VC17</t>
  </si>
  <si>
    <t>B21AX57</t>
  </si>
  <si>
    <t>B20HS27</t>
  </si>
  <si>
    <t>B23OR08</t>
  </si>
  <si>
    <t>B22ZC12</t>
  </si>
  <si>
    <t>B21VD67</t>
  </si>
  <si>
    <t>B21AC11</t>
  </si>
  <si>
    <t>B23CF57</t>
  </si>
  <si>
    <t>B23AO17</t>
  </si>
  <si>
    <t>B23P658</t>
  </si>
  <si>
    <t>B19CS09</t>
  </si>
  <si>
    <t>B22VC18</t>
  </si>
  <si>
    <t>B21AX58</t>
  </si>
  <si>
    <t>B20HS28</t>
  </si>
  <si>
    <t>B23OR09</t>
  </si>
  <si>
    <t>B22ZC13</t>
  </si>
  <si>
    <t>B21VD68</t>
  </si>
  <si>
    <t>B21AC12</t>
  </si>
  <si>
    <t>B23CF58</t>
  </si>
  <si>
    <t>B23AO18</t>
  </si>
  <si>
    <t>B23P659</t>
  </si>
  <si>
    <t>B19CS10</t>
  </si>
  <si>
    <t>B22VC19</t>
  </si>
  <si>
    <t>B21AX59</t>
  </si>
  <si>
    <t>B20HS29</t>
  </si>
  <si>
    <t>B23OR10</t>
  </si>
  <si>
    <t>B22ZC14</t>
  </si>
  <si>
    <t>B21VD69</t>
  </si>
  <si>
    <t>B21AC13</t>
  </si>
  <si>
    <t>TOTAL</t>
  </si>
  <si>
    <t>Company</t>
  </si>
  <si>
    <t>Representative</t>
  </si>
  <si>
    <t>Shree Medical &amp; General Store</t>
  </si>
  <si>
    <t>Abhijeet Kulkarni</t>
  </si>
  <si>
    <t>JeevanCare Medical Store</t>
  </si>
  <si>
    <t>Neha Patel</t>
  </si>
  <si>
    <t>Arogya Medical &amp; General</t>
  </si>
  <si>
    <t>Hrishkesh Jadhv</t>
  </si>
  <si>
    <t>MedEase</t>
  </si>
  <si>
    <t>Siddant Patil</t>
  </si>
  <si>
    <t>CityMed Pharmacy</t>
  </si>
  <si>
    <t>Vikram Shah</t>
  </si>
  <si>
    <t>TrustCare Medicals</t>
  </si>
  <si>
    <t>Pooja Sharma</t>
  </si>
  <si>
    <t>Lifeline Medicals</t>
  </si>
  <si>
    <t>Harshal Singh</t>
  </si>
  <si>
    <t>CarePlus Medical Store</t>
  </si>
  <si>
    <t>Riya Mishra</t>
  </si>
  <si>
    <t>FIELD</t>
  </si>
  <si>
    <t>DETAILS</t>
  </si>
  <si>
    <t>AUTHOR</t>
  </si>
  <si>
    <t>RUTUJA  SANTOSH SHANKPALE</t>
  </si>
  <si>
    <t>PROJECT TITLE</t>
  </si>
  <si>
    <t>GUIDED PROJECT: INTRODUCTION TO DATA ANALYSIS USING MICROSOFT EXCEL</t>
  </si>
  <si>
    <t>COURSE/SOURCE</t>
  </si>
  <si>
    <t>COURSERA</t>
  </si>
  <si>
    <t>INSTRUCTOR</t>
  </si>
  <si>
    <t>PAULA DEL REY</t>
  </si>
  <si>
    <t>CREATED ON</t>
  </si>
  <si>
    <t>CONTACT</t>
  </si>
  <si>
    <t>www.linkedin.com/in/rutujashankpale</t>
  </si>
  <si>
    <t>COPYRIGHT</t>
  </si>
  <si>
    <t>© 2025 RUTUJA SHANKPALE. ORIGINAL WORK.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</si>
</sst>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[$₹-4009]\ #,##0.00"/>
  </numFmts>
  <fonts count="8">
    <font>
      <sz val="11"/>
      <color theme="1"/>
      <name val="Aptos Narrow"/>
      <family val="2"/>
      <scheme val="minor"/>
    </font>
    <font>
      <sz val="16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</font>
    <font>
      <u/>
      <sz val="11"/>
      <color theme="1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0" fillId="0" borderId="7" xfId="0" applyBorder="1"/>
    <xf numFmtId="14" fontId="0" fillId="0" borderId="8" xfId="0" applyNumberFormat="1" applyBorder="1"/>
    <xf numFmtId="0" fontId="0" fillId="0" borderId="8" xfId="0" applyBorder="1"/>
    <xf numFmtId="0" fontId="2" fillId="0" borderId="6" xfId="0" applyFont="1" applyBorder="1" applyAlignment="1">
      <alignment horizontal="center"/>
    </xf>
    <xf numFmtId="164" fontId="0" fillId="0" borderId="0" xfId="0" applyNumberFormat="1"/>
    <xf numFmtId="164" fontId="2" fillId="0" borderId="6" xfId="0" applyNumberFormat="1" applyFont="1" applyBorder="1"/>
    <xf numFmtId="164" fontId="0" fillId="0" borderId="9" xfId="0" applyNumberFormat="1" applyBorder="1"/>
    <xf numFmtId="165" fontId="0" fillId="0" borderId="0" xfId="0" applyNumberFormat="1"/>
    <xf numFmtId="165" fontId="2" fillId="0" borderId="1" xfId="0" applyNumberFormat="1" applyFont="1" applyBorder="1"/>
    <xf numFmtId="165" fontId="2" fillId="0" borderId="5" xfId="0" applyNumberFormat="1" applyFont="1" applyBorder="1"/>
    <xf numFmtId="165" fontId="0" fillId="0" borderId="8" xfId="0" applyNumberFormat="1" applyBorder="1"/>
    <xf numFmtId="0" fontId="0" fillId="0" borderId="8" xfId="0" applyNumberFormat="1" applyBorder="1" applyAlignment="1">
      <alignment horizontal="center"/>
    </xf>
    <xf numFmtId="0" fontId="2" fillId="0" borderId="5" xfId="0" applyFont="1" applyBorder="1" applyAlignment="1">
      <alignment wrapText="1"/>
    </xf>
    <xf numFmtId="0" fontId="3" fillId="0" borderId="2" xfId="0" applyFont="1" applyBorder="1"/>
    <xf numFmtId="14" fontId="3" fillId="0" borderId="1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164" fontId="3" fillId="0" borderId="3" xfId="0" applyNumberFormat="1" applyFont="1" applyBorder="1"/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/>
    <xf numFmtId="0" fontId="3" fillId="0" borderId="7" xfId="0" applyFont="1" applyBorder="1"/>
    <xf numFmtId="14" fontId="3" fillId="0" borderId="8" xfId="0" applyNumberFormat="1" applyFont="1" applyBorder="1"/>
    <xf numFmtId="0" fontId="3" fillId="0" borderId="8" xfId="0" applyFont="1" applyBorder="1"/>
    <xf numFmtId="165" fontId="3" fillId="0" borderId="8" xfId="0" applyNumberFormat="1" applyFont="1" applyBorder="1"/>
    <xf numFmtId="164" fontId="3" fillId="0" borderId="9" xfId="0" applyNumberFormat="1" applyFont="1" applyBorder="1"/>
    <xf numFmtId="0" fontId="3" fillId="0" borderId="9" xfId="0" applyFont="1" applyBorder="1" applyAlignment="1">
      <alignment horizontal="center"/>
    </xf>
    <xf numFmtId="0" fontId="3" fillId="0" borderId="0" xfId="0" pivotButton="1" applyFont="1"/>
    <xf numFmtId="0" fontId="3" fillId="0" borderId="0" xfId="0" applyFont="1"/>
    <xf numFmtId="165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wrapText="1"/>
    </xf>
    <xf numFmtId="15" fontId="3" fillId="0" borderId="0" xfId="0" applyNumberFormat="1" applyFont="1" applyAlignment="1">
      <alignment horizontal="left"/>
    </xf>
    <xf numFmtId="0" fontId="6" fillId="0" borderId="0" xfId="1" applyFont="1"/>
    <xf numFmtId="0" fontId="7" fillId="0" borderId="1" xfId="0" applyFont="1" applyBorder="1"/>
    <xf numFmtId="0" fontId="5" fillId="0" borderId="1" xfId="0" applyFont="1" applyBorder="1"/>
    <xf numFmtId="0" fontId="1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47">
    <dxf>
      <font>
        <name val="Calibri"/>
      </font>
      <numFmt numFmtId="165" formatCode="[$₹-4009]\ #,##0.0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[$₹-4009]\ #,##0.0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Calibri"/>
      </font>
      <numFmt numFmtId="0" formatCode="General"/>
      <alignment horizontal="center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Calibri"/>
      </font>
      <numFmt numFmtId="164" formatCode="_ [$₹-4009]\ * #,##0.00_ ;_ [$₹-4009]\ * \-#,##0.00_ ;_ [$₹-4009]\ * &quot;-&quot;??_ ;_ @_ 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_ [$₹-4009]\ * #,##0.00_ ;_ [$₹-4009]\ * \-#,##0.00_ ;_ [$₹-4009]\ * &quot;-&quot;??_ ;_ @_ 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name val="Calibri"/>
      </font>
      <numFmt numFmtId="165" formatCode="[$₹-4009]\ #,##0.0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5" formatCode="[$₹-4009]\ #,##0.0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Calibri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Calibri"/>
      </font>
      <numFmt numFmtId="19" formatCode="m/d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Calibri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Calibri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Calibri"/>
      </font>
      <numFmt numFmtId="0" formatCode="General"/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Calibri"/>
      </font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Calibri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Calibri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Calibri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Calibri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Calibri"/>
      </font>
      <numFmt numFmtId="19" formatCode="m/d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9" formatCode="m/d/yyyy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name val="Calibri"/>
      </font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name val="Calibri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0.829164236115" createdVersion="8" refreshedVersion="8" minRefreshableVersion="3" recordCount="365" xr:uid="{7956B4DB-9527-4CB7-A8A1-E1D7A5D3D7EC}">
  <cacheSource type="worksheet">
    <worksheetSource name="Table1"/>
  </cacheSource>
  <cacheFields count="16">
    <cacheField name="Invoice No" numFmtId="0">
      <sharedItems containsMixedTypes="1" containsNumber="1" containsInteger="1" minValue="101" maxValue="464"/>
    </cacheField>
    <cacheField name="Date" numFmtId="14">
      <sharedItems containsSemiMixedTypes="0" containsNonDate="0" containsDate="1" containsString="0" minDate="2024-04-02T00:00:00" maxDate="2025-04-01T00:00:00"/>
    </cacheField>
    <cacheField name="Month" numFmtId="0">
      <sharedItems count="12">
        <s v="Apr"/>
        <s v="May"/>
        <s v="Jun"/>
        <s v="Jul"/>
        <s v="Aug"/>
        <s v="Sep"/>
        <s v="Oct"/>
        <s v="Nov"/>
        <s v="Dec"/>
        <s v="Jan"/>
        <s v="Feb"/>
        <s v="Mar"/>
      </sharedItems>
    </cacheField>
    <cacheField name="Sales Rep" numFmtId="0">
      <sharedItems count="8">
        <s v="Rajesh Nair"/>
        <s v="Neha Singh"/>
        <s v="Adity Rao"/>
        <s v="Priya Mehta"/>
        <s v="Amol Sharma"/>
        <s v="Rohit Kholi"/>
        <s v="Aman Shah"/>
        <s v="Komal Sharma"/>
      </sharedItems>
    </cacheField>
    <cacheField name="Region" numFmtId="0">
      <sharedItems/>
    </cacheField>
    <cacheField name="Customer ID" numFmtId="0">
      <sharedItems/>
    </cacheField>
    <cacheField name="Company Name" numFmtId="0">
      <sharedItems/>
    </cacheField>
    <cacheField name="Company Representative Name" numFmtId="0">
      <sharedItems/>
    </cacheField>
    <cacheField name="Products" numFmtId="0">
      <sharedItems/>
    </cacheField>
    <cacheField name="Batch No" numFmtId="0">
      <sharedItems/>
    </cacheField>
    <cacheField name="Expiry" numFmtId="14">
      <sharedItems containsSemiMixedTypes="0" containsNonDate="0" containsDate="1" containsString="0" minDate="2025-08-01T00:00:00" maxDate="2026-12-26T00:00:00"/>
    </cacheField>
    <cacheField name="Qty" numFmtId="0">
      <sharedItems containsSemiMixedTypes="0" containsString="0" containsNumber="1" containsInteger="1" minValue="20" maxValue="68"/>
    </cacheField>
    <cacheField name="Price/Unit" numFmtId="165">
      <sharedItems containsSemiMixedTypes="0" containsString="0" containsNumber="1" containsInteger="1" minValue="18" maxValue="95"/>
    </cacheField>
    <cacheField name="Total" numFmtId="164">
      <sharedItems containsSemiMixedTypes="0" containsString="0" containsNumber="1" containsInteger="1" minValue="396" maxValue="6460"/>
    </cacheField>
    <cacheField name="Discount" numFmtId="0">
      <sharedItems/>
    </cacheField>
    <cacheField name="Final Price" numFmtId="165">
      <sharedItems containsSemiMixedTypes="0" containsString="0" containsNumber="1" minValue="396" maxValue="61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n v="101"/>
    <d v="2024-04-02T00:00:00"/>
    <x v="0"/>
    <x v="0"/>
    <s v="North"/>
    <s v="C101"/>
    <s v="Shree Medical &amp; General Store"/>
    <s v="Abhijeet Kulkarni"/>
    <s v="Paracetamol 650mg"/>
    <s v="B23P650"/>
    <d v="2026-12-01T00:00:00"/>
    <n v="50"/>
    <n v="18"/>
    <n v="900"/>
    <s v="N"/>
    <n v="900"/>
  </r>
  <r>
    <n v="102"/>
    <d v="2024-04-02T00:00:00"/>
    <x v="0"/>
    <x v="1"/>
    <s v="West"/>
    <s v="C132"/>
    <s v="JeevanCare Medical Store"/>
    <s v="Neha Patel"/>
    <s v="Cough Syrup 100ml"/>
    <s v="B19CS01"/>
    <d v="2026-08-01T00:00:00"/>
    <n v="30"/>
    <n v="75"/>
    <n v="2250"/>
    <s v="N"/>
    <n v="2250"/>
  </r>
  <r>
    <n v="103"/>
    <d v="2024-04-03T00:00:00"/>
    <x v="0"/>
    <x v="2"/>
    <s v="South"/>
    <s v="C140"/>
    <s v="Arogya Medical &amp; General"/>
    <s v="Hrishkesh Jadhv"/>
    <s v="Vitamin  C Tablets"/>
    <s v="B22VC10"/>
    <d v="2025-08-01T00:00:00"/>
    <n v="40"/>
    <n v="55"/>
    <n v="2200"/>
    <s v="N"/>
    <n v="2200"/>
  </r>
  <r>
    <n v="104"/>
    <d v="2024-04-04T00:00:00"/>
    <x v="0"/>
    <x v="3"/>
    <s v="East"/>
    <s v="C150"/>
    <s v="MedEase"/>
    <s v="Siddant Patil"/>
    <s v="Amoxicillin 500mg"/>
    <s v="B21AX50"/>
    <d v="2026-09-01T00:00:00"/>
    <n v="35"/>
    <n v="32"/>
    <n v="1120"/>
    <s v="N"/>
    <n v="1120"/>
  </r>
  <r>
    <n v="105"/>
    <d v="2024-04-05T00:00:00"/>
    <x v="0"/>
    <x v="4"/>
    <s v="North"/>
    <s v="C157"/>
    <s v="CityMed Pharmacy"/>
    <s v="Vikram Shah"/>
    <s v="Hand Sanitizer 200ml"/>
    <s v="B20HS20"/>
    <d v="2026-12-01T00:00:00"/>
    <n v="60"/>
    <n v="90"/>
    <n v="5400"/>
    <s v="Y"/>
    <n v="5130"/>
  </r>
  <r>
    <n v="106"/>
    <d v="2024-04-06T00:00:00"/>
    <x v="0"/>
    <x v="5"/>
    <s v="West"/>
    <s v="C201"/>
    <s v="TrustCare Medicals"/>
    <s v="Pooja Sharma"/>
    <s v="ORS Powder"/>
    <s v="B23OR01"/>
    <d v="2026-10-01T00:00:00"/>
    <n v="55"/>
    <n v="20"/>
    <n v="1100"/>
    <s v="N"/>
    <n v="1100"/>
  </r>
  <r>
    <n v="107"/>
    <d v="2024-04-07T00:00:00"/>
    <x v="0"/>
    <x v="6"/>
    <s v="South"/>
    <s v="C245"/>
    <s v="Lifeline Medicals"/>
    <s v="Harshal Singh"/>
    <s v="Zinc Tablets"/>
    <s v="B22ZC05"/>
    <d v="2026-03-02T00:00:00"/>
    <n v="25"/>
    <n v="35"/>
    <n v="875"/>
    <s v="N"/>
    <n v="875"/>
  </r>
  <r>
    <n v="108"/>
    <d v="2024-04-08T00:00:00"/>
    <x v="0"/>
    <x v="7"/>
    <s v="East"/>
    <s v="C160"/>
    <s v="CarePlus Medical Store"/>
    <s v="Riya Mishra"/>
    <s v="Vitamin D3 60k"/>
    <s v="B21VD60"/>
    <d v="2026-12-25T00:00:00"/>
    <n v="35"/>
    <n v="42"/>
    <n v="1470"/>
    <s v="N"/>
    <n v="1470"/>
  </r>
  <r>
    <n v="109"/>
    <d v="2024-04-09T00:00:00"/>
    <x v="0"/>
    <x v="0"/>
    <s v="North"/>
    <s v="C101"/>
    <s v="Shree Medical &amp; General Store"/>
    <s v="Abhijeet Kulkarni"/>
    <s v="Antacid Tablets"/>
    <s v="B21AC04"/>
    <d v="2026-04-03T00:00:00"/>
    <n v="45"/>
    <n v="22"/>
    <n v="990"/>
    <s v="N"/>
    <n v="990"/>
  </r>
  <r>
    <n v="110"/>
    <d v="2024-04-10T00:00:00"/>
    <x v="0"/>
    <x v="1"/>
    <s v="West"/>
    <s v="C132"/>
    <s v="JeevanCare Medical Store"/>
    <s v="Neha Patel"/>
    <s v="Ciprofloxacin 500mg"/>
    <s v="B23CF50"/>
    <d v="2026-06-05T00:00:00"/>
    <n v="38"/>
    <n v="48"/>
    <n v="1824"/>
    <s v="N"/>
    <n v="1824"/>
  </r>
  <r>
    <n v="111"/>
    <d v="2024-04-11T00:00:00"/>
    <x v="0"/>
    <x v="2"/>
    <s v="South"/>
    <s v="C140"/>
    <s v="Arogya Medical &amp; General"/>
    <s v="Hrishkesh Jadhv"/>
    <s v="Antibiotic Ointment"/>
    <s v="B23AO10"/>
    <d v="2026-10-02T00:00:00"/>
    <n v="52"/>
    <n v="95"/>
    <n v="4940"/>
    <s v="N"/>
    <n v="4940"/>
  </r>
  <r>
    <n v="112"/>
    <d v="2024-04-12T00:00:00"/>
    <x v="0"/>
    <x v="3"/>
    <s v="East"/>
    <s v="C150"/>
    <s v="MedEase"/>
    <s v="Siddant Patil"/>
    <s v="Paracetamol 650mg"/>
    <s v="B23P651"/>
    <d v="2026-12-01T00:00:00"/>
    <n v="54"/>
    <n v="18"/>
    <n v="972"/>
    <s v="N"/>
    <n v="972"/>
  </r>
  <r>
    <n v="113"/>
    <d v="2024-04-13T00:00:00"/>
    <x v="0"/>
    <x v="4"/>
    <s v="North"/>
    <s v="C157"/>
    <s v="CityMed Pharmacy"/>
    <s v="Vikram Shah"/>
    <s v="Cough Syrup 100ml"/>
    <s v="B19CS02"/>
    <d v="2026-08-01T00:00:00"/>
    <n v="56"/>
    <n v="75"/>
    <n v="4200"/>
    <s v="N"/>
    <n v="4200"/>
  </r>
  <r>
    <n v="114"/>
    <d v="2024-04-14T00:00:00"/>
    <x v="0"/>
    <x v="5"/>
    <s v="West"/>
    <s v="C201"/>
    <s v="TrustCare Medicals"/>
    <s v="Pooja Sharma"/>
    <s v="Vitamin  C Tablets"/>
    <s v="B22VC11"/>
    <d v="2025-08-01T00:00:00"/>
    <n v="28"/>
    <n v="55"/>
    <n v="1540"/>
    <s v="N"/>
    <n v="1540"/>
  </r>
  <r>
    <n v="115"/>
    <d v="2024-04-15T00:00:00"/>
    <x v="0"/>
    <x v="6"/>
    <s v="North"/>
    <s v="C245"/>
    <s v="Lifeline Medicals"/>
    <s v="Harshal Singh"/>
    <s v="Amoxicillin 500mg"/>
    <s v="B21AX51"/>
    <d v="2026-09-01T00:00:00"/>
    <n v="54"/>
    <n v="32"/>
    <n v="1728"/>
    <s v="N"/>
    <n v="1728"/>
  </r>
  <r>
    <n v="116"/>
    <d v="2024-04-16T00:00:00"/>
    <x v="0"/>
    <x v="7"/>
    <s v="West"/>
    <s v="C160"/>
    <s v="CarePlus Medical Store"/>
    <s v="Riya Mishra"/>
    <s v="Hand Sanitizer 200ml"/>
    <s v="B20HS21"/>
    <d v="2026-12-01T00:00:00"/>
    <n v="60"/>
    <n v="90"/>
    <n v="5400"/>
    <s v="Y"/>
    <n v="5130"/>
  </r>
  <r>
    <n v="117"/>
    <d v="2024-04-17T00:00:00"/>
    <x v="0"/>
    <x v="0"/>
    <s v="South"/>
    <s v="C101"/>
    <s v="Shree Medical &amp; General Store"/>
    <s v="Abhijeet Kulkarni"/>
    <s v="ORS Powder"/>
    <s v="B23OR02"/>
    <d v="2026-10-01T00:00:00"/>
    <n v="55"/>
    <n v="20"/>
    <n v="1100"/>
    <s v="N"/>
    <n v="1100"/>
  </r>
  <r>
    <n v="118"/>
    <d v="2024-04-18T00:00:00"/>
    <x v="0"/>
    <x v="0"/>
    <s v="East"/>
    <s v="C132"/>
    <s v="JeevanCare Medical Store"/>
    <s v="Neha Patel"/>
    <s v="Zinc Tablets"/>
    <s v="B22ZC06"/>
    <d v="2026-03-02T00:00:00"/>
    <n v="35"/>
    <n v="35"/>
    <n v="1225"/>
    <s v="N"/>
    <n v="1225"/>
  </r>
  <r>
    <n v="119"/>
    <d v="2024-04-19T00:00:00"/>
    <x v="0"/>
    <x v="1"/>
    <s v="North"/>
    <s v="C140"/>
    <s v="Arogya Medical &amp; General"/>
    <s v="Hrishkesh Jadhv"/>
    <s v="Paracetamol 650mg"/>
    <s v="B23P651"/>
    <d v="2026-12-25T00:00:00"/>
    <n v="65"/>
    <n v="42"/>
    <n v="2730"/>
    <s v="Y"/>
    <n v="2593.5"/>
  </r>
  <r>
    <n v="120"/>
    <d v="2024-04-20T00:00:00"/>
    <x v="0"/>
    <x v="2"/>
    <s v="West"/>
    <s v="C150"/>
    <s v="MedEase"/>
    <s v="Siddant Patil"/>
    <s v="Cough Syrup 100ml"/>
    <s v="B19CS02"/>
    <d v="2026-04-03T00:00:00"/>
    <n v="45"/>
    <n v="22"/>
    <n v="990"/>
    <s v="N"/>
    <n v="990"/>
  </r>
  <r>
    <n v="121"/>
    <d v="2024-04-21T00:00:00"/>
    <x v="0"/>
    <x v="3"/>
    <s v="South"/>
    <s v="C157"/>
    <s v="CityMed Pharmacy"/>
    <s v="Vikram Shah"/>
    <s v="Vitamin  C Tablets"/>
    <s v="B22VC11"/>
    <d v="2026-06-05T00:00:00"/>
    <n v="35"/>
    <n v="48"/>
    <n v="1680"/>
    <s v="N"/>
    <n v="1680"/>
  </r>
  <r>
    <n v="122"/>
    <d v="2024-04-22T00:00:00"/>
    <x v="0"/>
    <x v="4"/>
    <s v="East"/>
    <s v="C201"/>
    <s v="TrustCare Medicals"/>
    <s v="Pooja Sharma"/>
    <s v="Amoxicillin 500mg"/>
    <s v="B21AX51"/>
    <d v="2026-10-02T00:00:00"/>
    <n v="54"/>
    <n v="95"/>
    <n v="5130"/>
    <s v="N"/>
    <n v="5130"/>
  </r>
  <r>
    <n v="123"/>
    <d v="2024-04-23T00:00:00"/>
    <x v="0"/>
    <x v="5"/>
    <s v="North"/>
    <s v="C245"/>
    <s v="Lifeline Medicals"/>
    <s v="Harshal Singh"/>
    <s v="Hand Sanitizer 200ml"/>
    <s v="B20HS21"/>
    <d v="2026-12-01T00:00:00"/>
    <n v="45"/>
    <n v="18"/>
    <n v="810"/>
    <s v="N"/>
    <n v="810"/>
  </r>
  <r>
    <n v="124"/>
    <d v="2024-04-24T00:00:00"/>
    <x v="0"/>
    <x v="6"/>
    <s v="West"/>
    <s v="C160"/>
    <s v="CarePlus Medical Store"/>
    <s v="Riya Mishra"/>
    <s v="ORS Powder"/>
    <s v="B23OR02"/>
    <d v="2026-08-01T00:00:00"/>
    <n v="35"/>
    <n v="75"/>
    <n v="2625"/>
    <s v="N"/>
    <n v="2625"/>
  </r>
  <r>
    <n v="125"/>
    <d v="2024-04-25T00:00:00"/>
    <x v="0"/>
    <x v="7"/>
    <s v="South"/>
    <s v="C101"/>
    <s v="Shree Medical &amp; General Store"/>
    <s v="Abhijeet Kulkarni"/>
    <s v="Zinc Tablets"/>
    <s v="B22ZC06"/>
    <d v="2025-08-01T00:00:00"/>
    <n v="25"/>
    <n v="55"/>
    <n v="1375"/>
    <s v="N"/>
    <n v="1375"/>
  </r>
  <r>
    <n v="126"/>
    <d v="2024-04-26T00:00:00"/>
    <x v="0"/>
    <x v="0"/>
    <s v="East"/>
    <s v="C132"/>
    <s v="JeevanCare Medical Store"/>
    <s v="Neha Patel"/>
    <s v="Vitamin D3 60k"/>
    <s v="B21VD61"/>
    <d v="2026-09-01T00:00:00"/>
    <n v="25"/>
    <n v="32"/>
    <n v="800"/>
    <s v="N"/>
    <n v="800"/>
  </r>
  <r>
    <n v="127"/>
    <d v="2024-04-27T00:00:00"/>
    <x v="0"/>
    <x v="1"/>
    <s v="North"/>
    <s v="C140"/>
    <s v="Arogya Medical &amp; General"/>
    <s v="Hrishkesh Jadhv"/>
    <s v="Antacid Tablets"/>
    <s v="B21AC05"/>
    <d v="2026-12-01T00:00:00"/>
    <n v="35"/>
    <n v="90"/>
    <n v="3150"/>
    <s v="N"/>
    <n v="3150"/>
  </r>
  <r>
    <n v="128"/>
    <d v="2024-04-28T00:00:00"/>
    <x v="0"/>
    <x v="2"/>
    <s v="West"/>
    <s v="C150"/>
    <s v="MedEase"/>
    <s v="Siddant Patil"/>
    <s v="Ciprofloxacin 500mg"/>
    <s v="B23CF51"/>
    <d v="2026-10-01T00:00:00"/>
    <n v="45"/>
    <n v="20"/>
    <n v="900"/>
    <s v="N"/>
    <n v="900"/>
  </r>
  <r>
    <n v="129"/>
    <d v="2024-04-29T00:00:00"/>
    <x v="0"/>
    <x v="3"/>
    <s v="North"/>
    <s v="C157"/>
    <s v="CityMed Pharmacy"/>
    <s v="Vikram Shah"/>
    <s v="Antibiotic Ointment"/>
    <s v="B23AO11"/>
    <d v="2026-03-02T00:00:00"/>
    <n v="54"/>
    <n v="35"/>
    <n v="1890"/>
    <s v="N"/>
    <n v="1890"/>
  </r>
  <r>
    <n v="130"/>
    <d v="2024-04-30T00:00:00"/>
    <x v="0"/>
    <x v="4"/>
    <s v="West"/>
    <s v="C201"/>
    <s v="TrustCare Medicals"/>
    <s v="Pooja Sharma"/>
    <s v="Paracetamol 650mg"/>
    <s v="B23P652"/>
    <d v="2026-12-25T00:00:00"/>
    <n v="65"/>
    <n v="42"/>
    <n v="2730"/>
    <s v="Y"/>
    <n v="2593.5"/>
  </r>
  <r>
    <n v="131"/>
    <d v="2024-05-01T00:00:00"/>
    <x v="1"/>
    <x v="5"/>
    <s v="South"/>
    <s v="C245"/>
    <s v="Lifeline Medicals"/>
    <s v="Harshal Singh"/>
    <s v="Cough Syrup 100ml"/>
    <s v="B19CS03"/>
    <d v="2026-04-03T00:00:00"/>
    <n v="45"/>
    <n v="22"/>
    <n v="990"/>
    <s v="N"/>
    <n v="990"/>
  </r>
  <r>
    <n v="132"/>
    <d v="2024-05-02T00:00:00"/>
    <x v="1"/>
    <x v="6"/>
    <s v="East"/>
    <s v="C160"/>
    <s v="CarePlus Medical Store"/>
    <s v="Riya Mishra"/>
    <s v="Vitamin  C Tablets"/>
    <s v="B22VC12"/>
    <d v="2026-06-05T00:00:00"/>
    <n v="35"/>
    <n v="48"/>
    <n v="1680"/>
    <s v="N"/>
    <n v="1680"/>
  </r>
  <r>
    <n v="133"/>
    <d v="2024-05-03T00:00:00"/>
    <x v="1"/>
    <x v="7"/>
    <s v="North"/>
    <s v="C101"/>
    <s v="Shree Medical &amp; General Store"/>
    <s v="Abhijeet Kulkarni"/>
    <s v="Amoxicillin 500mg"/>
    <s v="B21AX52"/>
    <d v="2026-10-02T00:00:00"/>
    <n v="45"/>
    <n v="95"/>
    <n v="4275"/>
    <s v="N"/>
    <n v="4275"/>
  </r>
  <r>
    <n v="134"/>
    <d v="2024-05-04T00:00:00"/>
    <x v="1"/>
    <x v="0"/>
    <s v="West"/>
    <s v="C132"/>
    <s v="JeevanCare Medical Store"/>
    <s v="Neha Patel"/>
    <s v="Hand Sanitizer 200ml"/>
    <s v="B20HS22"/>
    <d v="2026-12-01T00:00:00"/>
    <n v="30"/>
    <n v="18"/>
    <n v="540"/>
    <s v="N"/>
    <n v="540"/>
  </r>
  <r>
    <n v="135"/>
    <d v="2024-05-05T00:00:00"/>
    <x v="1"/>
    <x v="0"/>
    <s v="South"/>
    <s v="C140"/>
    <s v="Arogya Medical &amp; General"/>
    <s v="Hrishkesh Jadhv"/>
    <s v="ORS Powder"/>
    <s v="B23OR03"/>
    <d v="2026-08-01T00:00:00"/>
    <n v="65"/>
    <n v="75"/>
    <n v="4875"/>
    <s v="Y"/>
    <n v="4631.25"/>
  </r>
  <r>
    <n v="136"/>
    <d v="2024-05-06T00:00:00"/>
    <x v="1"/>
    <x v="1"/>
    <s v="East"/>
    <s v="C150"/>
    <s v="MedEase"/>
    <s v="Siddant Patil"/>
    <s v="Zinc Tablets"/>
    <s v="B22ZC07"/>
    <d v="2025-08-01T00:00:00"/>
    <n v="35"/>
    <n v="55"/>
    <n v="1925"/>
    <s v="N"/>
    <n v="1925"/>
  </r>
  <r>
    <n v="137"/>
    <d v="2024-05-07T00:00:00"/>
    <x v="1"/>
    <x v="2"/>
    <s v="North"/>
    <s v="C157"/>
    <s v="CityMed Pharmacy"/>
    <s v="Vikram Shah"/>
    <s v="Paracetamol 650mg"/>
    <s v="B23P652"/>
    <d v="2026-09-01T00:00:00"/>
    <n v="55"/>
    <n v="32"/>
    <n v="1760"/>
    <s v="N"/>
    <n v="1760"/>
  </r>
  <r>
    <n v="138"/>
    <d v="2024-05-08T00:00:00"/>
    <x v="1"/>
    <x v="3"/>
    <s v="West"/>
    <s v="C201"/>
    <s v="TrustCare Medicals"/>
    <s v="Pooja Sharma"/>
    <s v="Cough Syrup 100ml"/>
    <s v="B19CS03"/>
    <d v="2026-12-01T00:00:00"/>
    <n v="32"/>
    <n v="90"/>
    <n v="2880"/>
    <s v="N"/>
    <n v="2880"/>
  </r>
  <r>
    <n v="139"/>
    <d v="2024-05-09T00:00:00"/>
    <x v="1"/>
    <x v="4"/>
    <s v="South"/>
    <s v="C245"/>
    <s v="Lifeline Medicals"/>
    <s v="Harshal Singh"/>
    <s v="Vitamin  C Tablets"/>
    <s v="B22VC12"/>
    <d v="2026-10-01T00:00:00"/>
    <n v="48"/>
    <n v="20"/>
    <n v="960"/>
    <s v="N"/>
    <n v="960"/>
  </r>
  <r>
    <n v="140"/>
    <d v="2024-05-10T00:00:00"/>
    <x v="1"/>
    <x v="5"/>
    <s v="East"/>
    <s v="C160"/>
    <s v="CarePlus Medical Store"/>
    <s v="Riya Mishra"/>
    <s v="Amoxicillin 500mg"/>
    <s v="B21AX52"/>
    <d v="2026-03-02T00:00:00"/>
    <n v="54"/>
    <n v="35"/>
    <n v="1890"/>
    <s v="N"/>
    <n v="1890"/>
  </r>
  <r>
    <n v="141"/>
    <d v="2024-05-11T00:00:00"/>
    <x v="1"/>
    <x v="6"/>
    <s v="North"/>
    <s v="C101"/>
    <s v="Shree Medical &amp; General Store"/>
    <s v="Abhijeet Kulkarni"/>
    <s v="Hand Sanitizer 200ml"/>
    <s v="B20HS22"/>
    <d v="2026-12-25T00:00:00"/>
    <n v="28"/>
    <n v="42"/>
    <n v="1176"/>
    <s v="N"/>
    <n v="1176"/>
  </r>
  <r>
    <n v="142"/>
    <d v="2024-05-12T00:00:00"/>
    <x v="1"/>
    <x v="7"/>
    <s v="West"/>
    <s v="C132"/>
    <s v="JeevanCare Medical Store"/>
    <s v="Neha Patel"/>
    <s v="ORS Powder"/>
    <s v="B23OR03"/>
    <d v="2026-04-03T00:00:00"/>
    <n v="35"/>
    <n v="22"/>
    <n v="770"/>
    <s v="N"/>
    <n v="770"/>
  </r>
  <r>
    <n v="143"/>
    <d v="2024-05-13T00:00:00"/>
    <x v="1"/>
    <x v="0"/>
    <s v="North"/>
    <s v="C140"/>
    <s v="Arogya Medical &amp; General"/>
    <s v="Hrishkesh Jadhv"/>
    <s v="Zinc Tablets"/>
    <s v="B22ZC07"/>
    <d v="2026-06-05T00:00:00"/>
    <n v="22"/>
    <n v="48"/>
    <n v="1056"/>
    <s v="N"/>
    <n v="1056"/>
  </r>
  <r>
    <n v="144"/>
    <d v="2024-05-14T00:00:00"/>
    <x v="1"/>
    <x v="1"/>
    <s v="West"/>
    <s v="C150"/>
    <s v="MedEase"/>
    <s v="Siddant Patil"/>
    <s v="Vitamin D3 60k"/>
    <s v="B21VD62"/>
    <d v="2026-10-02T00:00:00"/>
    <n v="62"/>
    <n v="95"/>
    <n v="5890"/>
    <s v="Y"/>
    <n v="5595.5"/>
  </r>
  <r>
    <n v="145"/>
    <d v="2024-05-15T00:00:00"/>
    <x v="1"/>
    <x v="2"/>
    <s v="South"/>
    <s v="C157"/>
    <s v="CityMed Pharmacy"/>
    <s v="Vikram Shah"/>
    <s v="Antacid Tablets"/>
    <s v="B21AC06"/>
    <d v="2026-12-01T00:00:00"/>
    <n v="32"/>
    <n v="18"/>
    <n v="576"/>
    <s v="N"/>
    <n v="576"/>
  </r>
  <r>
    <n v="146"/>
    <d v="2024-05-16T00:00:00"/>
    <x v="1"/>
    <x v="3"/>
    <s v="East"/>
    <s v="C201"/>
    <s v="TrustCare Medicals"/>
    <s v="Pooja Sharma"/>
    <s v="Paracetamol 650mg"/>
    <s v="B23P651"/>
    <d v="2026-08-01T00:00:00"/>
    <n v="65"/>
    <n v="75"/>
    <n v="4875"/>
    <s v="Y"/>
    <n v="4631.25"/>
  </r>
  <r>
    <n v="147"/>
    <d v="2024-05-17T00:00:00"/>
    <x v="1"/>
    <x v="4"/>
    <s v="North"/>
    <s v="C245"/>
    <s v="Lifeline Medicals"/>
    <s v="Harshal Singh"/>
    <s v="Cough Syrup 100ml"/>
    <s v="B19CS02"/>
    <d v="2025-08-01T00:00:00"/>
    <n v="48"/>
    <n v="55"/>
    <n v="2640"/>
    <s v="N"/>
    <n v="2640"/>
  </r>
  <r>
    <n v="148"/>
    <d v="2024-05-18T00:00:00"/>
    <x v="1"/>
    <x v="5"/>
    <s v="West"/>
    <s v="C160"/>
    <s v="CarePlus Medical Store"/>
    <s v="Riya Mishra"/>
    <s v="Vitamin  C Tablets"/>
    <s v="B22VC11"/>
    <d v="2026-09-01T00:00:00"/>
    <n v="54"/>
    <n v="32"/>
    <n v="1728"/>
    <s v="N"/>
    <n v="1728"/>
  </r>
  <r>
    <n v="149"/>
    <d v="2024-05-19T00:00:00"/>
    <x v="1"/>
    <x v="6"/>
    <s v="South"/>
    <s v="C101"/>
    <s v="Shree Medical &amp; General Store"/>
    <s v="Abhijeet Kulkarni"/>
    <s v="Amoxicillin 500mg"/>
    <s v="B21AX51"/>
    <d v="2026-12-01T00:00:00"/>
    <n v="25"/>
    <n v="90"/>
    <n v="2250"/>
    <s v="N"/>
    <n v="2250"/>
  </r>
  <r>
    <n v="150"/>
    <d v="2024-05-20T00:00:00"/>
    <x v="1"/>
    <x v="7"/>
    <s v="East"/>
    <s v="C132"/>
    <s v="JeevanCare Medical Store"/>
    <s v="Neha Patel"/>
    <s v="Hand Sanitizer 200ml"/>
    <s v="B20HS21"/>
    <d v="2026-10-01T00:00:00"/>
    <n v="35"/>
    <n v="20"/>
    <n v="700"/>
    <s v="N"/>
    <n v="700"/>
  </r>
  <r>
    <n v="151"/>
    <d v="2024-05-21T00:00:00"/>
    <x v="1"/>
    <x v="0"/>
    <s v="North"/>
    <s v="C140"/>
    <s v="Arogya Medical &amp; General"/>
    <s v="Hrishkesh Jadhv"/>
    <s v="ORS Powder"/>
    <s v="B23OR02"/>
    <d v="2026-03-02T00:00:00"/>
    <n v="38"/>
    <n v="35"/>
    <n v="1330"/>
    <s v="N"/>
    <n v="1330"/>
  </r>
  <r>
    <n v="152"/>
    <d v="2024-05-22T00:00:00"/>
    <x v="1"/>
    <x v="0"/>
    <s v="West"/>
    <s v="C150"/>
    <s v="MedEase"/>
    <s v="Siddant Patil"/>
    <s v="Zinc Tablets"/>
    <s v="B22ZC06"/>
    <d v="2026-12-25T00:00:00"/>
    <n v="28"/>
    <n v="42"/>
    <n v="1176"/>
    <s v="N"/>
    <n v="1176"/>
  </r>
  <r>
    <n v="153"/>
    <d v="2024-05-23T00:00:00"/>
    <x v="1"/>
    <x v="1"/>
    <s v="South"/>
    <s v="C157"/>
    <s v="CityMed Pharmacy"/>
    <s v="Vikram Shah"/>
    <s v="Vitamin D3 60k"/>
    <s v="B21VD61"/>
    <d v="2026-04-03T00:00:00"/>
    <n v="54"/>
    <n v="22"/>
    <n v="1188"/>
    <s v="N"/>
    <n v="1188"/>
  </r>
  <r>
    <n v="154"/>
    <d v="2024-05-24T00:00:00"/>
    <x v="1"/>
    <x v="2"/>
    <s v="East"/>
    <s v="C201"/>
    <s v="TrustCare Medicals"/>
    <s v="Pooja Sharma"/>
    <s v="Antacid Tablets"/>
    <s v="B21AC05"/>
    <d v="2026-06-05T00:00:00"/>
    <n v="35"/>
    <n v="48"/>
    <n v="1680"/>
    <s v="N"/>
    <n v="1680"/>
  </r>
  <r>
    <n v="155"/>
    <d v="2024-05-25T00:00:00"/>
    <x v="1"/>
    <x v="3"/>
    <s v="North"/>
    <s v="C245"/>
    <s v="Lifeline Medicals"/>
    <s v="Harshal Singh"/>
    <s v="Ciprofloxacin 500mg"/>
    <s v="B23CF51"/>
    <d v="2026-10-02T00:00:00"/>
    <n v="45"/>
    <n v="95"/>
    <n v="4275"/>
    <s v="N"/>
    <n v="4275"/>
  </r>
  <r>
    <n v="156"/>
    <d v="2024-05-26T00:00:00"/>
    <x v="1"/>
    <x v="4"/>
    <s v="West"/>
    <s v="C160"/>
    <s v="CarePlus Medical Store"/>
    <s v="Riya Mishra"/>
    <s v="Antibiotic Ointment"/>
    <s v="B23AO11"/>
    <d v="2026-12-01T00:00:00"/>
    <n v="25"/>
    <n v="18"/>
    <n v="450"/>
    <s v="N"/>
    <n v="450"/>
  </r>
  <r>
    <n v="157"/>
    <d v="2024-05-27T00:00:00"/>
    <x v="1"/>
    <x v="5"/>
    <s v="North"/>
    <s v="C101"/>
    <s v="Shree Medical &amp; General Store"/>
    <s v="Abhijeet Kulkarni"/>
    <s v="Paracetamol 650mg"/>
    <s v="B23P652"/>
    <d v="2026-08-01T00:00:00"/>
    <n v="35"/>
    <n v="75"/>
    <n v="2625"/>
    <s v="N"/>
    <n v="2625"/>
  </r>
  <r>
    <n v="158"/>
    <d v="2024-05-28T00:00:00"/>
    <x v="1"/>
    <x v="6"/>
    <s v="West"/>
    <s v="C132"/>
    <s v="JeevanCare Medical Store"/>
    <s v="Neha Patel"/>
    <s v="Cough Syrup 100ml"/>
    <s v="B19CS03"/>
    <d v="2025-08-01T00:00:00"/>
    <n v="22"/>
    <n v="55"/>
    <n v="1210"/>
    <s v="N"/>
    <n v="1210"/>
  </r>
  <r>
    <n v="159"/>
    <d v="2024-05-29T00:00:00"/>
    <x v="1"/>
    <x v="7"/>
    <s v="South"/>
    <s v="C140"/>
    <s v="Arogya Medical &amp; General"/>
    <s v="Hrishkesh Jadhv"/>
    <s v="Vitamin  C Tablets"/>
    <s v="B22VC12"/>
    <d v="2026-09-01T00:00:00"/>
    <n v="62"/>
    <n v="32"/>
    <n v="1984"/>
    <s v="Y"/>
    <n v="1884.8"/>
  </r>
  <r>
    <n v="160"/>
    <d v="2024-05-30T00:00:00"/>
    <x v="1"/>
    <x v="0"/>
    <s v="East"/>
    <s v="C150"/>
    <s v="MedEase"/>
    <s v="Siddant Patil"/>
    <s v="Amoxicillin 500mg"/>
    <s v="B21AX52"/>
    <d v="2026-12-01T00:00:00"/>
    <n v="32"/>
    <n v="90"/>
    <n v="2880"/>
    <s v="N"/>
    <n v="2880"/>
  </r>
  <r>
    <n v="161"/>
    <d v="2024-05-31T00:00:00"/>
    <x v="1"/>
    <x v="1"/>
    <s v="North"/>
    <s v="C157"/>
    <s v="CityMed Pharmacy"/>
    <s v="Vikram Shah"/>
    <s v="Hand Sanitizer 200ml"/>
    <s v="B20HS22"/>
    <d v="2026-10-01T00:00:00"/>
    <n v="65"/>
    <n v="20"/>
    <n v="1300"/>
    <s v="Y"/>
    <n v="1235"/>
  </r>
  <r>
    <n v="162"/>
    <d v="2024-06-01T00:00:00"/>
    <x v="2"/>
    <x v="2"/>
    <s v="West"/>
    <s v="C201"/>
    <s v="TrustCare Medicals"/>
    <s v="Pooja Sharma"/>
    <s v="ORS Powder"/>
    <s v="B23OR03"/>
    <d v="2026-03-02T00:00:00"/>
    <n v="48"/>
    <n v="35"/>
    <n v="1680"/>
    <s v="N"/>
    <n v="1680"/>
  </r>
  <r>
    <n v="163"/>
    <d v="2024-06-02T00:00:00"/>
    <x v="2"/>
    <x v="3"/>
    <s v="South"/>
    <s v="C245"/>
    <s v="Lifeline Medicals"/>
    <s v="Harshal Singh"/>
    <s v="Zinc Tablets"/>
    <s v="B22ZC07"/>
    <d v="2026-12-25T00:00:00"/>
    <n v="54"/>
    <n v="42"/>
    <n v="2268"/>
    <s v="N"/>
    <n v="2268"/>
  </r>
  <r>
    <n v="164"/>
    <d v="2024-06-03T00:00:00"/>
    <x v="2"/>
    <x v="4"/>
    <s v="East"/>
    <s v="C160"/>
    <s v="CarePlus Medical Store"/>
    <s v="Riya Mishra"/>
    <s v="Paracetamol 650mg"/>
    <s v="B23P652"/>
    <d v="2026-04-03T00:00:00"/>
    <n v="25"/>
    <n v="22"/>
    <n v="550"/>
    <s v="N"/>
    <n v="550"/>
  </r>
  <r>
    <n v="165"/>
    <d v="2024-06-04T00:00:00"/>
    <x v="2"/>
    <x v="5"/>
    <s v="North"/>
    <s v="C101"/>
    <s v="Shree Medical &amp; General Store"/>
    <s v="Abhijeet Kulkarni"/>
    <s v="Cough Syrup 100ml"/>
    <s v="B19CS03"/>
    <d v="2026-06-05T00:00:00"/>
    <n v="35"/>
    <n v="48"/>
    <n v="1680"/>
    <s v="N"/>
    <n v="1680"/>
  </r>
  <r>
    <n v="166"/>
    <d v="2024-06-05T00:00:00"/>
    <x v="2"/>
    <x v="6"/>
    <s v="West"/>
    <s v="C132"/>
    <s v="JeevanCare Medical Store"/>
    <s v="Neha Patel"/>
    <s v="Vitamin  C Tablets"/>
    <s v="B22VC12"/>
    <d v="2026-10-02T00:00:00"/>
    <n v="38"/>
    <n v="95"/>
    <n v="3610"/>
    <s v="N"/>
    <n v="3610"/>
  </r>
  <r>
    <n v="167"/>
    <d v="2024-06-06T00:00:00"/>
    <x v="2"/>
    <x v="7"/>
    <s v="South"/>
    <s v="C140"/>
    <s v="Arogya Medical &amp; General"/>
    <s v="Hrishkesh Jadhv"/>
    <s v="Amoxicillin 500mg"/>
    <s v="B21AX52"/>
    <d v="2026-12-01T00:00:00"/>
    <n v="28"/>
    <n v="18"/>
    <n v="504"/>
    <s v="N"/>
    <n v="504"/>
  </r>
  <r>
    <n v="168"/>
    <d v="2024-06-07T00:00:00"/>
    <x v="2"/>
    <x v="0"/>
    <s v="East"/>
    <s v="C150"/>
    <s v="MedEase"/>
    <s v="Siddant Patil"/>
    <s v="Hand Sanitizer 200ml"/>
    <s v="B20HS22"/>
    <d v="2026-08-01T00:00:00"/>
    <n v="54"/>
    <n v="75"/>
    <n v="4050"/>
    <s v="N"/>
    <n v="4050"/>
  </r>
  <r>
    <n v="169"/>
    <d v="2024-06-08T00:00:00"/>
    <x v="2"/>
    <x v="0"/>
    <s v="North"/>
    <s v="C157"/>
    <s v="CityMed Pharmacy"/>
    <s v="Vikram Shah"/>
    <s v="ORS Powder"/>
    <s v="B23OR03"/>
    <d v="2025-08-01T00:00:00"/>
    <n v="35"/>
    <n v="55"/>
    <n v="1925"/>
    <s v="N"/>
    <n v="1925"/>
  </r>
  <r>
    <n v="170"/>
    <d v="2024-06-09T00:00:00"/>
    <x v="2"/>
    <x v="1"/>
    <s v="West"/>
    <s v="C201"/>
    <s v="TrustCare Medicals"/>
    <s v="Pooja Sharma"/>
    <s v="Zinc Tablets"/>
    <s v="B22ZC07"/>
    <d v="2026-09-01T00:00:00"/>
    <n v="45"/>
    <n v="32"/>
    <n v="1440"/>
    <s v="N"/>
    <n v="1440"/>
  </r>
  <r>
    <n v="171"/>
    <d v="2024-06-10T00:00:00"/>
    <x v="2"/>
    <x v="2"/>
    <s v="North"/>
    <s v="C245"/>
    <s v="Lifeline Medicals"/>
    <s v="Harshal Singh"/>
    <s v="Vitamin D3 60k"/>
    <s v="B21VD62"/>
    <d v="2026-12-01T00:00:00"/>
    <n v="25"/>
    <n v="90"/>
    <n v="2250"/>
    <s v="N"/>
    <n v="2250"/>
  </r>
  <r>
    <n v="172"/>
    <d v="2024-06-11T00:00:00"/>
    <x v="2"/>
    <x v="3"/>
    <s v="West"/>
    <s v="C160"/>
    <s v="CarePlus Medical Store"/>
    <s v="Riya Mishra"/>
    <s v="Antacid Tablets"/>
    <s v="B21AC06"/>
    <d v="2026-10-01T00:00:00"/>
    <n v="35"/>
    <n v="20"/>
    <n v="700"/>
    <s v="N"/>
    <n v="700"/>
  </r>
  <r>
    <n v="173"/>
    <d v="2024-06-12T00:00:00"/>
    <x v="2"/>
    <x v="4"/>
    <s v="South"/>
    <s v="C101"/>
    <s v="Shree Medical &amp; General Store"/>
    <s v="Abhijeet Kulkarni"/>
    <s v="Ciprofloxacin 500mg"/>
    <s v="B23CF52"/>
    <d v="2026-03-02T00:00:00"/>
    <n v="22"/>
    <n v="35"/>
    <n v="770"/>
    <s v="N"/>
    <n v="770"/>
  </r>
  <r>
    <n v="174"/>
    <d v="2024-06-13T00:00:00"/>
    <x v="2"/>
    <x v="5"/>
    <s v="East"/>
    <s v="C132"/>
    <s v="JeevanCare Medical Store"/>
    <s v="Neha Patel"/>
    <s v="Antibiotic Ointment"/>
    <s v="B23AO12"/>
    <d v="2026-12-25T00:00:00"/>
    <n v="62"/>
    <n v="42"/>
    <n v="2604"/>
    <s v="Y"/>
    <n v="2473.7999999999997"/>
  </r>
  <r>
    <n v="175"/>
    <d v="2024-06-14T00:00:00"/>
    <x v="2"/>
    <x v="6"/>
    <s v="North"/>
    <s v="C140"/>
    <s v="Arogya Medical &amp; General"/>
    <s v="Hrishkesh Jadhv"/>
    <s v="Paracetamol 650mg"/>
    <s v="B23P653"/>
    <d v="2026-04-03T00:00:00"/>
    <n v="32"/>
    <n v="22"/>
    <n v="704"/>
    <s v="N"/>
    <n v="704"/>
  </r>
  <r>
    <n v="176"/>
    <d v="2024-06-15T00:00:00"/>
    <x v="2"/>
    <x v="7"/>
    <s v="West"/>
    <s v="C150"/>
    <s v="MedEase"/>
    <s v="Siddant Patil"/>
    <s v="Cough Syrup 100ml"/>
    <s v="B19CS04"/>
    <d v="2026-06-05T00:00:00"/>
    <n v="65"/>
    <n v="48"/>
    <n v="3120"/>
    <s v="Y"/>
    <n v="2964"/>
  </r>
  <r>
    <n v="177"/>
    <d v="2024-06-16T00:00:00"/>
    <x v="2"/>
    <x v="0"/>
    <s v="South"/>
    <s v="C157"/>
    <s v="CityMed Pharmacy"/>
    <s v="Vikram Shah"/>
    <s v="Vitamin  C Tablets"/>
    <s v="B22VC13"/>
    <d v="2026-10-02T00:00:00"/>
    <n v="48"/>
    <n v="95"/>
    <n v="4560"/>
    <s v="N"/>
    <n v="4560"/>
  </r>
  <r>
    <n v="178"/>
    <d v="2024-06-17T00:00:00"/>
    <x v="2"/>
    <x v="1"/>
    <s v="East"/>
    <s v="C201"/>
    <s v="TrustCare Medicals"/>
    <s v="Pooja Sharma"/>
    <s v="Amoxicillin 500mg"/>
    <s v="B21AX53"/>
    <d v="2026-12-01T00:00:00"/>
    <n v="54"/>
    <n v="18"/>
    <n v="972"/>
    <s v="N"/>
    <n v="972"/>
  </r>
  <r>
    <n v="179"/>
    <d v="2024-06-18T00:00:00"/>
    <x v="2"/>
    <x v="2"/>
    <s v="North"/>
    <s v="C245"/>
    <s v="Lifeline Medicals"/>
    <s v="Harshal Singh"/>
    <s v="Hand Sanitizer 200ml"/>
    <s v="B20HS23"/>
    <d v="2026-08-01T00:00:00"/>
    <n v="25"/>
    <n v="75"/>
    <n v="1875"/>
    <s v="N"/>
    <n v="1875"/>
  </r>
  <r>
    <n v="180"/>
    <d v="2024-06-19T00:00:00"/>
    <x v="2"/>
    <x v="3"/>
    <s v="West"/>
    <s v="C160"/>
    <s v="CarePlus Medical Store"/>
    <s v="Riya Mishra"/>
    <s v="ORS Powder"/>
    <s v="B23OR04"/>
    <d v="2025-08-01T00:00:00"/>
    <n v="35"/>
    <n v="55"/>
    <n v="1925"/>
    <s v="N"/>
    <n v="1925"/>
  </r>
  <r>
    <n v="181"/>
    <d v="2024-06-20T00:00:00"/>
    <x v="2"/>
    <x v="4"/>
    <s v="South"/>
    <s v="C101"/>
    <s v="Shree Medical &amp; General Store"/>
    <s v="Abhijeet Kulkarni"/>
    <s v="Zinc Tablets"/>
    <s v="B22ZC08"/>
    <d v="2026-09-01T00:00:00"/>
    <n v="38"/>
    <n v="32"/>
    <n v="1216"/>
    <s v="N"/>
    <n v="1216"/>
  </r>
  <r>
    <n v="182"/>
    <d v="2024-06-21T00:00:00"/>
    <x v="2"/>
    <x v="5"/>
    <s v="East"/>
    <s v="C132"/>
    <s v="JeevanCare Medical Store"/>
    <s v="Neha Patel"/>
    <s v="Paracetamol 650mg"/>
    <s v="B23P653"/>
    <d v="2026-12-01T00:00:00"/>
    <n v="28"/>
    <n v="90"/>
    <n v="2520"/>
    <s v="N"/>
    <n v="2520"/>
  </r>
  <r>
    <n v="183"/>
    <d v="2024-06-22T00:00:00"/>
    <x v="2"/>
    <x v="6"/>
    <s v="North"/>
    <s v="C140"/>
    <s v="Arogya Medical &amp; General"/>
    <s v="Hrishkesh Jadhv"/>
    <s v="Cough Syrup 100ml"/>
    <s v="B19CS04"/>
    <d v="2026-10-01T00:00:00"/>
    <n v="54"/>
    <n v="20"/>
    <n v="1080"/>
    <s v="N"/>
    <n v="1080"/>
  </r>
  <r>
    <n v="184"/>
    <d v="2024-06-23T00:00:00"/>
    <x v="2"/>
    <x v="7"/>
    <s v="West"/>
    <s v="C150"/>
    <s v="MedEase"/>
    <s v="Siddant Patil"/>
    <s v="Vitamin  C Tablets"/>
    <s v="B22VC13"/>
    <d v="2026-03-02T00:00:00"/>
    <n v="35"/>
    <n v="35"/>
    <n v="1225"/>
    <s v="N"/>
    <n v="1225"/>
  </r>
  <r>
    <n v="185"/>
    <d v="2024-06-24T00:00:00"/>
    <x v="2"/>
    <x v="0"/>
    <s v="North"/>
    <s v="C157"/>
    <s v="CityMed Pharmacy"/>
    <s v="Vikram Shah"/>
    <s v="Amoxicillin 500mg"/>
    <s v="B21AX53"/>
    <d v="2026-12-25T00:00:00"/>
    <n v="45"/>
    <n v="42"/>
    <n v="1890"/>
    <s v="N"/>
    <n v="1890"/>
  </r>
  <r>
    <n v="186"/>
    <d v="2024-06-25T00:00:00"/>
    <x v="2"/>
    <x v="0"/>
    <s v="West"/>
    <s v="C201"/>
    <s v="TrustCare Medicals"/>
    <s v="Pooja Sharma"/>
    <s v="Hand Sanitizer 200ml"/>
    <s v="B20HS23"/>
    <d v="2026-04-03T00:00:00"/>
    <n v="25"/>
    <n v="22"/>
    <n v="550"/>
    <s v="N"/>
    <n v="550"/>
  </r>
  <r>
    <n v="187"/>
    <d v="2024-06-26T00:00:00"/>
    <x v="2"/>
    <x v="1"/>
    <s v="South"/>
    <s v="C245"/>
    <s v="Lifeline Medicals"/>
    <s v="Harshal Singh"/>
    <s v="ORS Powder"/>
    <s v="B23OR04"/>
    <d v="2026-06-05T00:00:00"/>
    <n v="35"/>
    <n v="48"/>
    <n v="1680"/>
    <s v="N"/>
    <n v="1680"/>
  </r>
  <r>
    <n v="188"/>
    <d v="2024-06-27T00:00:00"/>
    <x v="2"/>
    <x v="2"/>
    <s v="East"/>
    <s v="C160"/>
    <s v="CarePlus Medical Store"/>
    <s v="Riya Mishra"/>
    <s v="Zinc Tablets"/>
    <s v="B22ZC08"/>
    <d v="2026-10-02T00:00:00"/>
    <n v="22"/>
    <n v="95"/>
    <n v="2090"/>
    <s v="N"/>
    <n v="2090"/>
  </r>
  <r>
    <n v="189"/>
    <d v="2024-06-28T00:00:00"/>
    <x v="2"/>
    <x v="3"/>
    <s v="North"/>
    <s v="C101"/>
    <s v="Shree Medical &amp; General Store"/>
    <s v="Abhijeet Kulkarni"/>
    <s v="Vitamin D3 60k"/>
    <s v="B21VD63"/>
    <d v="2026-12-01T00:00:00"/>
    <n v="62"/>
    <n v="18"/>
    <n v="1116"/>
    <s v="Y"/>
    <n v="1060.2"/>
  </r>
  <r>
    <n v="190"/>
    <d v="2024-06-29T00:00:00"/>
    <x v="2"/>
    <x v="4"/>
    <s v="West"/>
    <s v="C132"/>
    <s v="JeevanCare Medical Store"/>
    <s v="Neha Patel"/>
    <s v="Antacid Tablets"/>
    <s v="B21AC07"/>
    <d v="2026-08-01T00:00:00"/>
    <n v="32"/>
    <n v="75"/>
    <n v="2400"/>
    <s v="N"/>
    <n v="2400"/>
  </r>
  <r>
    <n v="191"/>
    <d v="2024-06-30T00:00:00"/>
    <x v="2"/>
    <x v="5"/>
    <s v="South"/>
    <s v="C140"/>
    <s v="Arogya Medical &amp; General"/>
    <s v="Hrishkesh Jadhv"/>
    <s v="Paracetamol 650mg"/>
    <s v="B23P652"/>
    <d v="2025-08-01T00:00:00"/>
    <n v="65"/>
    <n v="55"/>
    <n v="3575"/>
    <s v="Y"/>
    <n v="3396.25"/>
  </r>
  <r>
    <n v="192"/>
    <d v="2024-07-01T00:00:00"/>
    <x v="3"/>
    <x v="6"/>
    <s v="East"/>
    <s v="C150"/>
    <s v="MedEase"/>
    <s v="Siddant Patil"/>
    <s v="Cough Syrup 100ml"/>
    <s v="B19CS03"/>
    <d v="2026-09-01T00:00:00"/>
    <n v="48"/>
    <n v="32"/>
    <n v="1536"/>
    <s v="N"/>
    <n v="1536"/>
  </r>
  <r>
    <n v="193"/>
    <d v="2024-07-02T00:00:00"/>
    <x v="3"/>
    <x v="7"/>
    <s v="North"/>
    <s v="C157"/>
    <s v="CityMed Pharmacy"/>
    <s v="Vikram Shah"/>
    <s v="Vitamin  C Tablets"/>
    <s v="B22VC12"/>
    <d v="2026-12-01T00:00:00"/>
    <n v="54"/>
    <n v="90"/>
    <n v="4860"/>
    <s v="N"/>
    <n v="4860"/>
  </r>
  <r>
    <n v="194"/>
    <d v="2024-07-03T00:00:00"/>
    <x v="3"/>
    <x v="0"/>
    <s v="West"/>
    <s v="C201"/>
    <s v="TrustCare Medicals"/>
    <s v="Pooja Sharma"/>
    <s v="Amoxicillin 500mg"/>
    <s v="B21AX52"/>
    <d v="2026-10-01T00:00:00"/>
    <n v="25"/>
    <n v="20"/>
    <n v="500"/>
    <s v="N"/>
    <n v="500"/>
  </r>
  <r>
    <n v="195"/>
    <d v="2024-07-04T00:00:00"/>
    <x v="3"/>
    <x v="1"/>
    <s v="South"/>
    <s v="C245"/>
    <s v="Lifeline Medicals"/>
    <s v="Harshal Singh"/>
    <s v="Hand Sanitizer 200ml"/>
    <s v="B20HS22"/>
    <d v="2026-03-02T00:00:00"/>
    <n v="35"/>
    <n v="35"/>
    <n v="1225"/>
    <s v="N"/>
    <n v="1225"/>
  </r>
  <r>
    <n v="196"/>
    <d v="2024-07-05T00:00:00"/>
    <x v="3"/>
    <x v="2"/>
    <s v="East"/>
    <s v="C160"/>
    <s v="CarePlus Medical Store"/>
    <s v="Riya Mishra"/>
    <s v="ORS Powder"/>
    <s v="B23OR03"/>
    <d v="2026-12-25T00:00:00"/>
    <n v="38"/>
    <n v="42"/>
    <n v="1596"/>
    <s v="N"/>
    <n v="1596"/>
  </r>
  <r>
    <n v="197"/>
    <d v="2024-07-06T00:00:00"/>
    <x v="3"/>
    <x v="3"/>
    <s v="North"/>
    <s v="C101"/>
    <s v="Shree Medical &amp; General Store"/>
    <s v="Abhijeet Kulkarni"/>
    <s v="Zinc Tablets"/>
    <s v="B22ZC07"/>
    <d v="2026-04-03T00:00:00"/>
    <n v="28"/>
    <n v="22"/>
    <n v="616"/>
    <s v="N"/>
    <n v="616"/>
  </r>
  <r>
    <n v="198"/>
    <d v="2024-07-07T00:00:00"/>
    <x v="3"/>
    <x v="4"/>
    <s v="West"/>
    <s v="C132"/>
    <s v="JeevanCare Medical Store"/>
    <s v="Neha Patel"/>
    <s v="Vitamin D3 60k"/>
    <s v="B21VD62"/>
    <d v="2026-06-05T00:00:00"/>
    <n v="54"/>
    <n v="48"/>
    <n v="2592"/>
    <s v="N"/>
    <n v="2592"/>
  </r>
  <r>
    <n v="199"/>
    <d v="2024-07-08T00:00:00"/>
    <x v="3"/>
    <x v="5"/>
    <s v="North"/>
    <s v="C140"/>
    <s v="Arogya Medical &amp; General"/>
    <s v="Hrishkesh Jadhv"/>
    <s v="Antacid Tablets"/>
    <s v="B21AC06"/>
    <d v="2026-10-02T00:00:00"/>
    <n v="35"/>
    <n v="95"/>
    <n v="3325"/>
    <s v="N"/>
    <n v="3325"/>
  </r>
  <r>
    <n v="200"/>
    <d v="2024-07-09T00:00:00"/>
    <x v="3"/>
    <x v="6"/>
    <s v="West"/>
    <s v="C150"/>
    <s v="MedEase"/>
    <s v="Siddant Patil"/>
    <s v="Ciprofloxacin 500mg"/>
    <s v="B23CF52"/>
    <d v="2026-12-01T00:00:00"/>
    <n v="45"/>
    <n v="18"/>
    <n v="810"/>
    <s v="N"/>
    <n v="810"/>
  </r>
  <r>
    <n v="201"/>
    <d v="2024-07-10T00:00:00"/>
    <x v="3"/>
    <x v="7"/>
    <s v="South"/>
    <s v="C157"/>
    <s v="CityMed Pharmacy"/>
    <s v="Vikram Shah"/>
    <s v="Antibiotic Ointment"/>
    <s v="B23AO12"/>
    <d v="2026-08-01T00:00:00"/>
    <n v="25"/>
    <n v="75"/>
    <n v="1875"/>
    <s v="N"/>
    <n v="1875"/>
  </r>
  <r>
    <n v="202"/>
    <d v="2024-07-11T00:00:00"/>
    <x v="3"/>
    <x v="0"/>
    <s v="East"/>
    <s v="C201"/>
    <s v="TrustCare Medicals"/>
    <s v="Pooja Sharma"/>
    <s v="Paracetamol 650mg"/>
    <s v="B23P653"/>
    <d v="2025-08-01T00:00:00"/>
    <n v="35"/>
    <n v="55"/>
    <n v="1925"/>
    <s v="N"/>
    <n v="1925"/>
  </r>
  <r>
    <n v="203"/>
    <d v="2024-07-12T00:00:00"/>
    <x v="3"/>
    <x v="0"/>
    <s v="North"/>
    <s v="C245"/>
    <s v="Lifeline Medicals"/>
    <s v="Harshal Singh"/>
    <s v="Cough Syrup 100ml"/>
    <s v="B19CS04"/>
    <d v="2026-09-01T00:00:00"/>
    <n v="22"/>
    <n v="32"/>
    <n v="704"/>
    <s v="N"/>
    <n v="704"/>
  </r>
  <r>
    <n v="204"/>
    <d v="2024-07-13T00:00:00"/>
    <x v="3"/>
    <x v="1"/>
    <s v="West"/>
    <s v="C160"/>
    <s v="CarePlus Medical Store"/>
    <s v="Riya Mishra"/>
    <s v="Vitamin  C Tablets"/>
    <s v="B22VC13"/>
    <d v="2026-12-01T00:00:00"/>
    <n v="62"/>
    <n v="90"/>
    <n v="5580"/>
    <s v="Y"/>
    <n v="5301"/>
  </r>
  <r>
    <n v="205"/>
    <d v="2024-07-14T00:00:00"/>
    <x v="3"/>
    <x v="2"/>
    <s v="South"/>
    <s v="C101"/>
    <s v="Shree Medical &amp; General Store"/>
    <s v="Abhijeet Kulkarni"/>
    <s v="Amoxicillin 500mg"/>
    <s v="B21AX53"/>
    <d v="2026-10-01T00:00:00"/>
    <n v="32"/>
    <n v="20"/>
    <n v="640"/>
    <s v="N"/>
    <n v="640"/>
  </r>
  <r>
    <n v="206"/>
    <d v="2024-07-15T00:00:00"/>
    <x v="3"/>
    <x v="3"/>
    <s v="East"/>
    <s v="C132"/>
    <s v="JeevanCare Medical Store"/>
    <s v="Neha Patel"/>
    <s v="Hand Sanitizer 200ml"/>
    <s v="B20HS23"/>
    <d v="2026-03-02T00:00:00"/>
    <n v="65"/>
    <n v="35"/>
    <n v="2275"/>
    <s v="Y"/>
    <n v="2161.25"/>
  </r>
  <r>
    <n v="207"/>
    <d v="2024-07-16T00:00:00"/>
    <x v="3"/>
    <x v="4"/>
    <s v="North"/>
    <s v="C140"/>
    <s v="Arogya Medical &amp; General"/>
    <s v="Hrishkesh Jadhv"/>
    <s v="ORS Powder"/>
    <s v="B23OR04"/>
    <d v="2026-12-25T00:00:00"/>
    <n v="48"/>
    <n v="42"/>
    <n v="2016"/>
    <s v="N"/>
    <n v="2016"/>
  </r>
  <r>
    <n v="208"/>
    <d v="2024-07-17T00:00:00"/>
    <x v="3"/>
    <x v="5"/>
    <s v="West"/>
    <s v="C150"/>
    <s v="MedEase"/>
    <s v="Siddant Patil"/>
    <s v="Zinc Tablets"/>
    <s v="B22ZC08"/>
    <d v="2026-04-03T00:00:00"/>
    <n v="54"/>
    <n v="22"/>
    <n v="1188"/>
    <s v="N"/>
    <n v="1188"/>
  </r>
  <r>
    <n v="209"/>
    <d v="2024-07-18T00:00:00"/>
    <x v="3"/>
    <x v="6"/>
    <s v="South"/>
    <s v="C157"/>
    <s v="CityMed Pharmacy"/>
    <s v="Vikram Shah"/>
    <s v="Paracetamol 650mg"/>
    <s v="B23P653"/>
    <d v="2026-06-05T00:00:00"/>
    <n v="25"/>
    <n v="48"/>
    <n v="1200"/>
    <s v="N"/>
    <n v="1200"/>
  </r>
  <r>
    <n v="210"/>
    <d v="2024-07-19T00:00:00"/>
    <x v="3"/>
    <x v="7"/>
    <s v="East"/>
    <s v="C201"/>
    <s v="TrustCare Medicals"/>
    <s v="Pooja Sharma"/>
    <s v="Cough Syrup 100ml"/>
    <s v="B19CS04"/>
    <d v="2026-10-02T00:00:00"/>
    <n v="35"/>
    <n v="95"/>
    <n v="3325"/>
    <s v="N"/>
    <n v="3325"/>
  </r>
  <r>
    <n v="211"/>
    <d v="2024-07-20T00:00:00"/>
    <x v="3"/>
    <x v="0"/>
    <s v="North"/>
    <s v="C245"/>
    <s v="Lifeline Medicals"/>
    <s v="Harshal Singh"/>
    <s v="Vitamin  C Tablets"/>
    <s v="B22VC13"/>
    <d v="2026-12-01T00:00:00"/>
    <n v="38"/>
    <n v="18"/>
    <n v="684"/>
    <s v="N"/>
    <n v="684"/>
  </r>
  <r>
    <n v="212"/>
    <d v="2024-07-21T00:00:00"/>
    <x v="3"/>
    <x v="1"/>
    <s v="West"/>
    <s v="C160"/>
    <s v="CarePlus Medical Store"/>
    <s v="Riya Mishra"/>
    <s v="Amoxicillin 500mg"/>
    <s v="B21AX53"/>
    <d v="2026-08-01T00:00:00"/>
    <n v="28"/>
    <n v="75"/>
    <n v="2100"/>
    <s v="N"/>
    <n v="2100"/>
  </r>
  <r>
    <n v="213"/>
    <d v="2024-07-22T00:00:00"/>
    <x v="3"/>
    <x v="2"/>
    <s v="North"/>
    <s v="C101"/>
    <s v="Shree Medical &amp; General Store"/>
    <s v="Abhijeet Kulkarni"/>
    <s v="Hand Sanitizer 200ml"/>
    <s v="B20HS23"/>
    <d v="2025-08-01T00:00:00"/>
    <n v="54"/>
    <n v="55"/>
    <n v="2970"/>
    <s v="N"/>
    <n v="2970"/>
  </r>
  <r>
    <n v="214"/>
    <d v="2024-07-23T00:00:00"/>
    <x v="3"/>
    <x v="3"/>
    <s v="West"/>
    <s v="C132"/>
    <s v="JeevanCare Medical Store"/>
    <s v="Neha Patel"/>
    <s v="ORS Powder"/>
    <s v="B23OR04"/>
    <d v="2026-09-01T00:00:00"/>
    <n v="35"/>
    <n v="32"/>
    <n v="1120"/>
    <s v="N"/>
    <n v="1120"/>
  </r>
  <r>
    <n v="215"/>
    <d v="2024-07-24T00:00:00"/>
    <x v="3"/>
    <x v="4"/>
    <s v="South"/>
    <s v="C140"/>
    <s v="Arogya Medical &amp; General"/>
    <s v="Hrishkesh Jadhv"/>
    <s v="Zinc Tablets"/>
    <s v="B22ZC08"/>
    <d v="2025-08-01T00:00:00"/>
    <n v="45"/>
    <n v="90"/>
    <n v="4050"/>
    <s v="N"/>
    <n v="4050"/>
  </r>
  <r>
    <n v="216"/>
    <d v="2024-07-25T00:00:00"/>
    <x v="3"/>
    <x v="5"/>
    <s v="East"/>
    <s v="C150"/>
    <s v="MedEase"/>
    <s v="Siddant Patil"/>
    <s v="Vitamin D3 60k"/>
    <s v="B21VD63"/>
    <d v="2026-09-01T00:00:00"/>
    <n v="25"/>
    <n v="20"/>
    <n v="500"/>
    <s v="N"/>
    <n v="500"/>
  </r>
  <r>
    <n v="217"/>
    <d v="2024-07-26T00:00:00"/>
    <x v="3"/>
    <x v="6"/>
    <s v="North"/>
    <s v="C157"/>
    <s v="CityMed Pharmacy"/>
    <s v="Vikram Shah"/>
    <s v="Antacid Tablets"/>
    <s v="B21AC07"/>
    <d v="2026-12-01T00:00:00"/>
    <n v="35"/>
    <n v="35"/>
    <n v="1225"/>
    <s v="N"/>
    <n v="1225"/>
  </r>
  <r>
    <n v="218"/>
    <d v="2024-07-27T00:00:00"/>
    <x v="3"/>
    <x v="7"/>
    <s v="West"/>
    <s v="C201"/>
    <s v="TrustCare Medicals"/>
    <s v="Pooja Sharma"/>
    <s v="Ciprofloxacin 500mg"/>
    <s v="B23CF53"/>
    <d v="2026-10-01T00:00:00"/>
    <n v="22"/>
    <n v="42"/>
    <n v="924"/>
    <s v="N"/>
    <n v="924"/>
  </r>
  <r>
    <n v="219"/>
    <d v="2024-07-28T00:00:00"/>
    <x v="3"/>
    <x v="0"/>
    <s v="South"/>
    <s v="C245"/>
    <s v="Lifeline Medicals"/>
    <s v="Harshal Singh"/>
    <s v="Antibiotic Ointment"/>
    <s v="B23AO13"/>
    <d v="2026-03-02T00:00:00"/>
    <n v="62"/>
    <n v="22"/>
    <n v="1364"/>
    <s v="Y"/>
    <n v="1295.8"/>
  </r>
  <r>
    <n v="220"/>
    <d v="2024-07-29T00:00:00"/>
    <x v="3"/>
    <x v="0"/>
    <s v="East"/>
    <s v="C160"/>
    <s v="CarePlus Medical Store"/>
    <s v="Riya Mishra"/>
    <s v="Paracetamol 650mg"/>
    <s v="B23P654"/>
    <d v="2026-12-25T00:00:00"/>
    <n v="32"/>
    <n v="48"/>
    <n v="1536"/>
    <s v="N"/>
    <n v="1536"/>
  </r>
  <r>
    <n v="221"/>
    <d v="2024-07-30T00:00:00"/>
    <x v="3"/>
    <x v="1"/>
    <s v="North"/>
    <s v="C101"/>
    <s v="Shree Medical &amp; General Store"/>
    <s v="Abhijeet Kulkarni"/>
    <s v="Cough Syrup 100ml"/>
    <s v="B19CS05"/>
    <d v="2026-04-03T00:00:00"/>
    <n v="65"/>
    <n v="95"/>
    <n v="6175"/>
    <s v="Y"/>
    <n v="5866.25"/>
  </r>
  <r>
    <n v="222"/>
    <d v="2024-07-31T00:00:00"/>
    <x v="3"/>
    <x v="2"/>
    <s v="West"/>
    <s v="C132"/>
    <s v="JeevanCare Medical Store"/>
    <s v="Neha Patel"/>
    <s v="Vitamin  C Tablets"/>
    <s v="B22VC14"/>
    <d v="2026-06-05T00:00:00"/>
    <n v="48"/>
    <n v="18"/>
    <n v="864"/>
    <s v="N"/>
    <n v="864"/>
  </r>
  <r>
    <n v="223"/>
    <d v="2024-08-01T00:00:00"/>
    <x v="4"/>
    <x v="3"/>
    <s v="South"/>
    <s v="C140"/>
    <s v="Arogya Medical &amp; General"/>
    <s v="Hrishkesh Jadhv"/>
    <s v="Amoxicillin 500mg"/>
    <s v="B21AX54"/>
    <d v="2026-10-02T00:00:00"/>
    <n v="54"/>
    <n v="75"/>
    <n v="4050"/>
    <s v="N"/>
    <n v="4050"/>
  </r>
  <r>
    <n v="224"/>
    <d v="2024-08-02T00:00:00"/>
    <x v="4"/>
    <x v="4"/>
    <s v="East"/>
    <s v="C150"/>
    <s v="MedEase"/>
    <s v="Siddant Patil"/>
    <s v="Hand Sanitizer 200ml"/>
    <s v="B20HS24"/>
    <d v="2026-12-01T00:00:00"/>
    <n v="25"/>
    <n v="55"/>
    <n v="1375"/>
    <s v="N"/>
    <n v="1375"/>
  </r>
  <r>
    <n v="225"/>
    <d v="2024-08-03T00:00:00"/>
    <x v="4"/>
    <x v="5"/>
    <s v="North"/>
    <s v="C157"/>
    <s v="CityMed Pharmacy"/>
    <s v="Vikram Shah"/>
    <s v="ORS Powder"/>
    <s v="B23OR05"/>
    <d v="2026-08-01T00:00:00"/>
    <n v="35"/>
    <n v="32"/>
    <n v="1120"/>
    <s v="N"/>
    <n v="1120"/>
  </r>
  <r>
    <n v="226"/>
    <d v="2024-08-04T00:00:00"/>
    <x v="4"/>
    <x v="6"/>
    <s v="West"/>
    <s v="C201"/>
    <s v="TrustCare Medicals"/>
    <s v="Pooja Sharma"/>
    <s v="Zinc Tablets"/>
    <s v="B22ZC09"/>
    <d v="2025-08-01T00:00:00"/>
    <n v="38"/>
    <n v="90"/>
    <n v="3420"/>
    <s v="N"/>
    <n v="3420"/>
  </r>
  <r>
    <n v="227"/>
    <d v="2024-08-05T00:00:00"/>
    <x v="4"/>
    <x v="7"/>
    <s v="North"/>
    <s v="C245"/>
    <s v="Lifeline Medicals"/>
    <s v="Harshal Singh"/>
    <s v="Paracetamol 650mg"/>
    <s v="B23P654"/>
    <d v="2026-09-01T00:00:00"/>
    <n v="28"/>
    <n v="20"/>
    <n v="560"/>
    <s v="N"/>
    <n v="560"/>
  </r>
  <r>
    <n v="228"/>
    <d v="2024-08-06T00:00:00"/>
    <x v="4"/>
    <x v="0"/>
    <s v="West"/>
    <s v="C160"/>
    <s v="CarePlus Medical Store"/>
    <s v="Riya Mishra"/>
    <s v="Cough Syrup 100ml"/>
    <s v="B19CS05"/>
    <d v="2025-08-01T00:00:00"/>
    <n v="54"/>
    <n v="35"/>
    <n v="1890"/>
    <s v="N"/>
    <n v="1890"/>
  </r>
  <r>
    <n v="229"/>
    <d v="2024-08-07T00:00:00"/>
    <x v="4"/>
    <x v="1"/>
    <s v="South"/>
    <s v="C101"/>
    <s v="Shree Medical &amp; General Store"/>
    <s v="Abhijeet Kulkarni"/>
    <s v="Vitamin  C Tablets"/>
    <s v="B22VC14"/>
    <d v="2026-09-01T00:00:00"/>
    <n v="35"/>
    <n v="42"/>
    <n v="1470"/>
    <s v="N"/>
    <n v="1470"/>
  </r>
  <r>
    <n v="230"/>
    <d v="2024-08-08T00:00:00"/>
    <x v="4"/>
    <x v="2"/>
    <s v="East"/>
    <s v="C132"/>
    <s v="JeevanCare Medical Store"/>
    <s v="Neha Patel"/>
    <s v="Amoxicillin 500mg"/>
    <s v="B21AX54"/>
    <d v="2026-12-01T00:00:00"/>
    <n v="45"/>
    <n v="22"/>
    <n v="990"/>
    <s v="N"/>
    <n v="990"/>
  </r>
  <r>
    <n v="231"/>
    <d v="2024-08-09T00:00:00"/>
    <x v="4"/>
    <x v="3"/>
    <s v="North"/>
    <s v="C140"/>
    <s v="Arogya Medical &amp; General"/>
    <s v="Hrishkesh Jadhv"/>
    <s v="Hand Sanitizer 200ml"/>
    <s v="B20HS24"/>
    <d v="2026-10-01T00:00:00"/>
    <n v="25"/>
    <n v="48"/>
    <n v="1200"/>
    <s v="N"/>
    <n v="1200"/>
  </r>
  <r>
    <n v="232"/>
    <d v="2024-08-10T00:00:00"/>
    <x v="4"/>
    <x v="4"/>
    <s v="West"/>
    <s v="C150"/>
    <s v="MedEase"/>
    <s v="Siddant Patil"/>
    <s v="ORS Powder"/>
    <s v="B23OR05"/>
    <d v="2026-03-02T00:00:00"/>
    <n v="35"/>
    <n v="95"/>
    <n v="3325"/>
    <s v="N"/>
    <n v="3325"/>
  </r>
  <r>
    <n v="233"/>
    <d v="2024-08-11T00:00:00"/>
    <x v="4"/>
    <x v="5"/>
    <s v="South"/>
    <s v="C157"/>
    <s v="CityMed Pharmacy"/>
    <s v="Vikram Shah"/>
    <s v="Zinc Tablets"/>
    <s v="B22ZC09"/>
    <d v="2026-12-25T00:00:00"/>
    <n v="22"/>
    <n v="18"/>
    <n v="396"/>
    <s v="N"/>
    <n v="396"/>
  </r>
  <r>
    <n v="234"/>
    <d v="2024-08-12T00:00:00"/>
    <x v="4"/>
    <x v="6"/>
    <s v="East"/>
    <s v="C201"/>
    <s v="TrustCare Medicals"/>
    <s v="Pooja Sharma"/>
    <s v="Vitamin D3 60k"/>
    <s v="B21VD64"/>
    <d v="2026-04-03T00:00:00"/>
    <n v="62"/>
    <n v="75"/>
    <n v="4650"/>
    <s v="Y"/>
    <n v="4417.5"/>
  </r>
  <r>
    <n v="235"/>
    <d v="2024-08-13T00:00:00"/>
    <x v="4"/>
    <x v="7"/>
    <s v="North"/>
    <s v="C245"/>
    <s v="CarePlus Medical Store"/>
    <s v="Harshal Singh"/>
    <s v="Antacid Tablets"/>
    <s v="B21AC08"/>
    <d v="2026-06-05T00:00:00"/>
    <n v="32"/>
    <n v="55"/>
    <n v="1760"/>
    <s v="N"/>
    <n v="1760"/>
  </r>
  <r>
    <n v="236"/>
    <d v="2024-08-14T00:00:00"/>
    <x v="4"/>
    <x v="0"/>
    <s v="West"/>
    <s v="C160"/>
    <s v="CarePlus Medical Store"/>
    <s v="Riya Mishra"/>
    <s v="Paracetamol 650mg"/>
    <s v="B23P653"/>
    <d v="2026-10-02T00:00:00"/>
    <n v="65"/>
    <n v="32"/>
    <n v="2080"/>
    <s v="Y"/>
    <n v="1976"/>
  </r>
  <r>
    <n v="237"/>
    <d v="2024-08-15T00:00:00"/>
    <x v="4"/>
    <x v="0"/>
    <s v="South"/>
    <s v="C101"/>
    <s v="Shree Medical &amp; General Store"/>
    <s v="Abhijeet Kulkarni"/>
    <s v="Cough Syrup 100ml"/>
    <s v="B19CS04"/>
    <d v="2026-12-01T00:00:00"/>
    <n v="48"/>
    <n v="90"/>
    <n v="4320"/>
    <s v="N"/>
    <n v="4320"/>
  </r>
  <r>
    <n v="238"/>
    <d v="2024-08-16T00:00:00"/>
    <x v="4"/>
    <x v="1"/>
    <s v="East"/>
    <s v="C132"/>
    <s v="JeevanCare Medical Store"/>
    <s v="Neha Patel"/>
    <s v="Vitamin  C Tablets"/>
    <s v="B22VC13"/>
    <d v="2026-08-01T00:00:00"/>
    <n v="54"/>
    <n v="20"/>
    <n v="1080"/>
    <s v="N"/>
    <n v="1080"/>
  </r>
  <r>
    <n v="239"/>
    <d v="2024-08-17T00:00:00"/>
    <x v="4"/>
    <x v="2"/>
    <s v="North"/>
    <s v="C140"/>
    <s v="Arogya Medical &amp; General"/>
    <s v="Hrishkesh Jadhv"/>
    <s v="Amoxicillin 500mg"/>
    <s v="B21AX53"/>
    <d v="2025-08-01T00:00:00"/>
    <n v="25"/>
    <n v="35"/>
    <n v="875"/>
    <s v="N"/>
    <n v="875"/>
  </r>
  <r>
    <n v="240"/>
    <d v="2024-08-18T00:00:00"/>
    <x v="4"/>
    <x v="3"/>
    <s v="West"/>
    <s v="C150"/>
    <s v="MedEase"/>
    <s v="Siddant Patil"/>
    <s v="Hand Sanitizer 200ml"/>
    <s v="B20HS23"/>
    <d v="2026-09-01T00:00:00"/>
    <n v="35"/>
    <n v="42"/>
    <n v="1470"/>
    <s v="N"/>
    <n v="1470"/>
  </r>
  <r>
    <n v="241"/>
    <d v="2024-08-19T00:00:00"/>
    <x v="4"/>
    <x v="4"/>
    <s v="North"/>
    <s v="C157"/>
    <s v="CityMed Pharmacy"/>
    <s v="Vikram Shah"/>
    <s v="ORS Powder"/>
    <s v="B23OR04"/>
    <d v="2025-08-01T00:00:00"/>
    <n v="38"/>
    <n v="22"/>
    <n v="836"/>
    <s v="N"/>
    <n v="836"/>
  </r>
  <r>
    <n v="242"/>
    <d v="2024-08-20T00:00:00"/>
    <x v="4"/>
    <x v="5"/>
    <s v="West"/>
    <s v="C201"/>
    <s v="TrustCare Medicals"/>
    <s v="Pooja Sharma"/>
    <s v="Zinc Tablets"/>
    <s v="B22ZC08"/>
    <d v="2026-09-01T00:00:00"/>
    <n v="28"/>
    <n v="48"/>
    <n v="1344"/>
    <s v="N"/>
    <n v="1344"/>
  </r>
  <r>
    <n v="243"/>
    <d v="2024-08-21T00:00:00"/>
    <x v="4"/>
    <x v="6"/>
    <s v="South"/>
    <s v="C245"/>
    <s v="Lifeline Medicals"/>
    <s v="Harshal Singh"/>
    <s v="Vitamin D3 60k"/>
    <s v="B21VD63"/>
    <d v="2026-12-01T00:00:00"/>
    <n v="54"/>
    <n v="95"/>
    <n v="5130"/>
    <s v="N"/>
    <n v="5130"/>
  </r>
  <r>
    <n v="244"/>
    <d v="2024-08-22T00:00:00"/>
    <x v="4"/>
    <x v="7"/>
    <s v="East"/>
    <s v="C160"/>
    <s v="CarePlus Medical Store"/>
    <s v="Riya Mishra"/>
    <s v="Antacid Tablets"/>
    <s v="B21AC07"/>
    <d v="2026-10-01T00:00:00"/>
    <n v="35"/>
    <n v="18"/>
    <n v="630"/>
    <s v="N"/>
    <n v="630"/>
  </r>
  <r>
    <n v="245"/>
    <d v="2024-08-23T00:00:00"/>
    <x v="4"/>
    <x v="0"/>
    <s v="North"/>
    <s v="C101"/>
    <s v="Shree Medical &amp; General Store"/>
    <s v="Abhijeet Kulkarni"/>
    <s v="Ciprofloxacin 500mg"/>
    <s v="B23CF53"/>
    <d v="2026-03-02T00:00:00"/>
    <n v="45"/>
    <n v="75"/>
    <n v="3375"/>
    <s v="N"/>
    <n v="3375"/>
  </r>
  <r>
    <n v="246"/>
    <d v="2024-08-24T00:00:00"/>
    <x v="4"/>
    <x v="1"/>
    <s v="West"/>
    <s v="C132"/>
    <s v="JeevanCare Medical Store"/>
    <s v="Neha Patel"/>
    <s v="Antibiotic Ointment"/>
    <s v="B23AO13"/>
    <d v="2026-12-25T00:00:00"/>
    <n v="25"/>
    <n v="55"/>
    <n v="1375"/>
    <s v="N"/>
    <n v="1375"/>
  </r>
  <r>
    <n v="247"/>
    <d v="2024-08-25T00:00:00"/>
    <x v="4"/>
    <x v="2"/>
    <s v="South"/>
    <s v="C140"/>
    <s v="Arogya Medical &amp; General"/>
    <s v="Hrishkesh Jadhv"/>
    <s v="Paracetamol 650mg"/>
    <s v="B23P654"/>
    <d v="2026-04-03T00:00:00"/>
    <n v="35"/>
    <n v="32"/>
    <n v="1120"/>
    <s v="N"/>
    <n v="1120"/>
  </r>
  <r>
    <n v="248"/>
    <d v="2024-08-26T00:00:00"/>
    <x v="4"/>
    <x v="3"/>
    <s v="East"/>
    <s v="C150"/>
    <s v="MedEase"/>
    <s v="Siddant Patil"/>
    <s v="Cough Syrup 100ml"/>
    <s v="B19CS05"/>
    <d v="2026-06-05T00:00:00"/>
    <n v="22"/>
    <n v="90"/>
    <n v="1980"/>
    <s v="N"/>
    <n v="1980"/>
  </r>
  <r>
    <n v="249"/>
    <d v="2024-08-27T00:00:00"/>
    <x v="4"/>
    <x v="4"/>
    <s v="North"/>
    <s v="C157"/>
    <s v="CityMed Pharmacy"/>
    <s v="Vikram Shah"/>
    <s v="Vitamin  C Tablets"/>
    <s v="B22VC14"/>
    <d v="2026-10-02T00:00:00"/>
    <n v="62"/>
    <n v="20"/>
    <n v="1240"/>
    <s v="Y"/>
    <n v="1178"/>
  </r>
  <r>
    <n v="250"/>
    <d v="2024-08-28T00:00:00"/>
    <x v="4"/>
    <x v="5"/>
    <s v="West"/>
    <s v="C201"/>
    <s v="TrustCare Medicals"/>
    <s v="Pooja Sharma"/>
    <s v="Amoxicillin 500mg"/>
    <s v="B21AX54"/>
    <d v="2026-12-01T00:00:00"/>
    <n v="32"/>
    <n v="35"/>
    <n v="1120"/>
    <s v="N"/>
    <n v="1120"/>
  </r>
  <r>
    <n v="251"/>
    <d v="2024-08-29T00:00:00"/>
    <x v="4"/>
    <x v="6"/>
    <s v="South"/>
    <s v="C245"/>
    <s v="Lifeline Medicals"/>
    <s v="Harshal Singh"/>
    <s v="Hand Sanitizer 200ml"/>
    <s v="B20HS24"/>
    <d v="2026-08-01T00:00:00"/>
    <n v="65"/>
    <n v="42"/>
    <n v="2730"/>
    <s v="Y"/>
    <n v="2593.5"/>
  </r>
  <r>
    <n v="252"/>
    <d v="2024-08-30T00:00:00"/>
    <x v="4"/>
    <x v="7"/>
    <s v="East"/>
    <s v="C160"/>
    <s v="CarePlus Medical Store"/>
    <s v="Riya Mishra"/>
    <s v="ORS Powder"/>
    <s v="B23OR05"/>
    <d v="2025-08-01T00:00:00"/>
    <n v="48"/>
    <n v="22"/>
    <n v="1056"/>
    <s v="N"/>
    <n v="1056"/>
  </r>
  <r>
    <n v="253"/>
    <d v="2024-08-31T00:00:00"/>
    <x v="4"/>
    <x v="0"/>
    <s v="North"/>
    <s v="C101"/>
    <s v="Shree Medical &amp; General Store"/>
    <s v="Abhijeet Kulkarni"/>
    <s v="Zinc Tablets"/>
    <s v="B22ZC09"/>
    <d v="2026-09-01T00:00:00"/>
    <n v="54"/>
    <n v="48"/>
    <n v="2592"/>
    <s v="N"/>
    <n v="2592"/>
  </r>
  <r>
    <n v="254"/>
    <d v="2024-09-01T00:00:00"/>
    <x v="5"/>
    <x v="0"/>
    <s v="West"/>
    <s v="C132"/>
    <s v="JeevanCare Medical Store"/>
    <s v="Neha Patel"/>
    <s v="Paracetamol 650mg"/>
    <s v="B23P654"/>
    <d v="2025-08-01T00:00:00"/>
    <n v="25"/>
    <n v="95"/>
    <n v="2375"/>
    <s v="N"/>
    <n v="2375"/>
  </r>
  <r>
    <n v="255"/>
    <d v="2024-09-02T00:00:00"/>
    <x v="5"/>
    <x v="1"/>
    <s v="North"/>
    <s v="C140"/>
    <s v="Arogya Medical &amp; General"/>
    <s v="Hrishkesh Jadhv"/>
    <s v="Cough Syrup 100ml"/>
    <s v="B19CS05"/>
    <d v="2026-09-01T00:00:00"/>
    <n v="35"/>
    <n v="18"/>
    <n v="630"/>
    <s v="N"/>
    <n v="630"/>
  </r>
  <r>
    <n v="256"/>
    <d v="2024-09-03T00:00:00"/>
    <x v="5"/>
    <x v="2"/>
    <s v="West"/>
    <s v="C150"/>
    <s v="MedEase"/>
    <s v="Siddant Patil"/>
    <s v="Vitamin  C Tablets"/>
    <s v="B22VC14"/>
    <d v="2026-12-01T00:00:00"/>
    <n v="38"/>
    <n v="75"/>
    <n v="2850"/>
    <s v="N"/>
    <n v="2850"/>
  </r>
  <r>
    <n v="257"/>
    <d v="2024-09-04T00:00:00"/>
    <x v="5"/>
    <x v="3"/>
    <s v="South"/>
    <s v="C157"/>
    <s v="CityMed Pharmacy"/>
    <s v="Vikram Shah"/>
    <s v="Amoxicillin 500mg"/>
    <s v="B21AX54"/>
    <d v="2026-10-01T00:00:00"/>
    <n v="28"/>
    <n v="55"/>
    <n v="1540"/>
    <s v="N"/>
    <n v="1540"/>
  </r>
  <r>
    <n v="258"/>
    <d v="2024-09-05T00:00:00"/>
    <x v="5"/>
    <x v="4"/>
    <s v="East"/>
    <s v="C201"/>
    <s v="TrustCare Medicals"/>
    <s v="Pooja Sharma"/>
    <s v="Hand Sanitizer 200ml"/>
    <s v="B20HS24"/>
    <d v="2026-03-02T00:00:00"/>
    <n v="54"/>
    <n v="32"/>
    <n v="1728"/>
    <s v="N"/>
    <n v="1728"/>
  </r>
  <r>
    <n v="259"/>
    <d v="2024-09-06T00:00:00"/>
    <x v="5"/>
    <x v="5"/>
    <s v="North"/>
    <s v="C245"/>
    <s v="Lifeline Medicals"/>
    <s v="Harshal Singh"/>
    <s v="ORS Powder"/>
    <s v="B23OR05"/>
    <d v="2026-12-25T00:00:00"/>
    <n v="35"/>
    <n v="90"/>
    <n v="3150"/>
    <s v="N"/>
    <n v="3150"/>
  </r>
  <r>
    <n v="260"/>
    <d v="2024-09-07T00:00:00"/>
    <x v="5"/>
    <x v="6"/>
    <s v="West"/>
    <s v="C160"/>
    <s v="CarePlus Medical Store"/>
    <s v="Riya Mishra"/>
    <s v="Zinc Tablets"/>
    <s v="B22ZC09"/>
    <d v="2026-04-03T00:00:00"/>
    <n v="45"/>
    <n v="20"/>
    <n v="900"/>
    <s v="N"/>
    <n v="900"/>
  </r>
  <r>
    <n v="261"/>
    <d v="2024-09-08T00:00:00"/>
    <x v="5"/>
    <x v="7"/>
    <s v="South"/>
    <s v="C101"/>
    <s v="Shree Medical &amp; General Store"/>
    <s v="Abhijeet Kulkarni"/>
    <s v="Vitamin D3 60k"/>
    <s v="B21VD64"/>
    <d v="2026-06-05T00:00:00"/>
    <n v="25"/>
    <n v="35"/>
    <n v="875"/>
    <s v="N"/>
    <n v="875"/>
  </r>
  <r>
    <n v="262"/>
    <d v="2024-09-09T00:00:00"/>
    <x v="5"/>
    <x v="0"/>
    <s v="East"/>
    <s v="C132"/>
    <s v="JeevanCare Medical Store"/>
    <s v="Neha Patel"/>
    <s v="Antacid Tablets"/>
    <s v="B21AC08"/>
    <d v="2026-10-02T00:00:00"/>
    <n v="58"/>
    <n v="42"/>
    <n v="2436"/>
    <s v="N"/>
    <n v="2436"/>
  </r>
  <r>
    <n v="263"/>
    <d v="2024-09-10T00:00:00"/>
    <x v="5"/>
    <x v="1"/>
    <s v="North"/>
    <s v="C140"/>
    <s v="Arogya Medical &amp; General"/>
    <s v="Hrishkesh Jadhv"/>
    <s v="Ciprofloxacin 500mg"/>
    <s v="B23CF54"/>
    <d v="2026-12-01T00:00:00"/>
    <n v="65"/>
    <n v="22"/>
    <n v="1430"/>
    <s v="Y"/>
    <n v="1358.5"/>
  </r>
  <r>
    <n v="264"/>
    <d v="2024-09-11T00:00:00"/>
    <x v="5"/>
    <x v="2"/>
    <s v="West"/>
    <s v="C150"/>
    <s v="MedEase"/>
    <s v="Siddant Patil"/>
    <s v="Antibiotic Ointment"/>
    <s v="B23AO14"/>
    <d v="2026-08-01T00:00:00"/>
    <n v="28"/>
    <n v="48"/>
    <n v="1344"/>
    <s v="N"/>
    <n v="1344"/>
  </r>
  <r>
    <n v="265"/>
    <d v="2024-09-12T00:00:00"/>
    <x v="5"/>
    <x v="3"/>
    <s v="South"/>
    <s v="C157"/>
    <s v="CityMed Pharmacy"/>
    <s v="Vikram Shah"/>
    <s v="Paracetamol 650mg"/>
    <s v="B23P655"/>
    <d v="2025-08-01T00:00:00"/>
    <n v="48"/>
    <n v="95"/>
    <n v="4560"/>
    <s v="N"/>
    <n v="4560"/>
  </r>
  <r>
    <n v="266"/>
    <d v="2024-09-13T00:00:00"/>
    <x v="5"/>
    <x v="4"/>
    <s v="East"/>
    <s v="C201"/>
    <s v="TrustCare Medicals"/>
    <s v="Pooja Sharma"/>
    <s v="Cough Syrup 100ml"/>
    <s v="B19CS06"/>
    <d v="2026-09-01T00:00:00"/>
    <n v="38"/>
    <n v="18"/>
    <n v="684"/>
    <s v="N"/>
    <n v="684"/>
  </r>
  <r>
    <n v="267"/>
    <d v="2024-09-14T00:00:00"/>
    <x v="5"/>
    <x v="5"/>
    <s v="North"/>
    <s v="C245"/>
    <s v="Lifeline Medicals"/>
    <s v="Harshal Singh"/>
    <s v="Vitamin  C Tablets"/>
    <s v="B22VC15"/>
    <d v="2025-08-01T00:00:00"/>
    <n v="48"/>
    <n v="75"/>
    <n v="3600"/>
    <s v="N"/>
    <n v="3600"/>
  </r>
  <r>
    <n v="268"/>
    <d v="2024-09-15T00:00:00"/>
    <x v="5"/>
    <x v="6"/>
    <s v="West"/>
    <s v="C160"/>
    <s v="CarePlus Medical Store"/>
    <s v="Riya Mishra"/>
    <s v="Amoxicillin 500mg"/>
    <s v="B21AX55"/>
    <d v="2026-09-01T00:00:00"/>
    <n v="58"/>
    <n v="55"/>
    <n v="3190"/>
    <s v="N"/>
    <n v="3190"/>
  </r>
  <r>
    <n v="269"/>
    <d v="2024-09-16T00:00:00"/>
    <x v="5"/>
    <x v="7"/>
    <s v="North"/>
    <s v="C101"/>
    <s v="Shree Medical &amp; General Store"/>
    <s v="Abhijeet Kulkarni"/>
    <s v="Hand Sanitizer 200ml"/>
    <s v="B20HS25"/>
    <d v="2026-12-01T00:00:00"/>
    <n v="35"/>
    <n v="32"/>
    <n v="1120"/>
    <s v="N"/>
    <n v="1120"/>
  </r>
  <r>
    <n v="270"/>
    <d v="2024-09-17T00:00:00"/>
    <x v="5"/>
    <x v="0"/>
    <s v="West"/>
    <s v="C132"/>
    <s v="JeevanCare Medical Store"/>
    <s v="Neha Patel"/>
    <s v="ORS Powder"/>
    <s v="B23OR06"/>
    <d v="2026-10-01T00:00:00"/>
    <n v="22"/>
    <n v="90"/>
    <n v="1980"/>
    <s v="N"/>
    <n v="1980"/>
  </r>
  <r>
    <n v="271"/>
    <d v="2024-09-18T00:00:00"/>
    <x v="5"/>
    <x v="0"/>
    <s v="South"/>
    <s v="C140"/>
    <s v="Arogya Medical &amp; General"/>
    <s v="Hrishkesh Jadhv"/>
    <s v="Zinc Tablets"/>
    <s v="B22ZC10"/>
    <d v="2026-03-02T00:00:00"/>
    <n v="26"/>
    <n v="20"/>
    <n v="520"/>
    <s v="N"/>
    <n v="520"/>
  </r>
  <r>
    <n v="272"/>
    <d v="2024-09-19T00:00:00"/>
    <x v="5"/>
    <x v="1"/>
    <s v="East"/>
    <s v="C150"/>
    <s v="MedEase"/>
    <s v="Siddant Patil"/>
    <s v="Paracetamol 650mg"/>
    <s v="B23P655"/>
    <d v="2026-12-25T00:00:00"/>
    <n v="68"/>
    <n v="35"/>
    <n v="2380"/>
    <s v="Y"/>
    <n v="2261"/>
  </r>
  <r>
    <n v="273"/>
    <d v="2024-09-20T00:00:00"/>
    <x v="5"/>
    <x v="2"/>
    <s v="North"/>
    <s v="C157"/>
    <s v="CityMed Pharmacy"/>
    <s v="Vikram Shah"/>
    <s v="Cough Syrup 100ml"/>
    <s v="B19CS06"/>
    <d v="2026-04-03T00:00:00"/>
    <n v="45"/>
    <n v="42"/>
    <n v="1890"/>
    <s v="N"/>
    <n v="1890"/>
  </r>
  <r>
    <n v="274"/>
    <d v="2024-09-21T00:00:00"/>
    <x v="5"/>
    <x v="3"/>
    <s v="West"/>
    <s v="C201"/>
    <s v="TrustCare Medicals"/>
    <s v="Pooja Sharma"/>
    <s v="Vitamin  C Tablets"/>
    <s v="B22VC15"/>
    <d v="2026-06-05T00:00:00"/>
    <n v="59"/>
    <n v="22"/>
    <n v="1298"/>
    <s v="N"/>
    <n v="1298"/>
  </r>
  <r>
    <n v="275"/>
    <d v="2024-09-22T00:00:00"/>
    <x v="5"/>
    <x v="4"/>
    <s v="South"/>
    <s v="C245"/>
    <s v="Lifeline Medicals"/>
    <s v="Harshal Singh"/>
    <s v="Amoxicillin 500mg"/>
    <s v="B21AX55"/>
    <d v="2026-10-02T00:00:00"/>
    <n v="45"/>
    <n v="48"/>
    <n v="2160"/>
    <s v="N"/>
    <n v="2160"/>
  </r>
  <r>
    <n v="276"/>
    <d v="2024-09-23T00:00:00"/>
    <x v="5"/>
    <x v="5"/>
    <s v="East"/>
    <s v="C160"/>
    <s v="CarePlus Medical Store"/>
    <s v="Riya Mishra"/>
    <s v="Hand Sanitizer 200ml"/>
    <s v="B20HS25"/>
    <d v="2026-12-01T00:00:00"/>
    <n v="35"/>
    <n v="95"/>
    <n v="3325"/>
    <s v="N"/>
    <n v="3325"/>
  </r>
  <r>
    <n v="277"/>
    <d v="2024-09-24T00:00:00"/>
    <x v="5"/>
    <x v="6"/>
    <s v="North"/>
    <s v="C101"/>
    <s v="Shree Medical &amp; General Store"/>
    <s v="Abhijeet Kulkarni"/>
    <s v="ORS Powder"/>
    <s v="B23OR06"/>
    <d v="2026-08-01T00:00:00"/>
    <n v="58"/>
    <n v="18"/>
    <n v="1044"/>
    <s v="N"/>
    <n v="1044"/>
  </r>
  <r>
    <n v="278"/>
    <d v="2024-09-25T00:00:00"/>
    <x v="5"/>
    <x v="7"/>
    <s v="West"/>
    <s v="C132"/>
    <s v="JeevanCare Medical Store"/>
    <s v="Neha Patel"/>
    <s v="Zinc Tablets"/>
    <s v="B22ZC10"/>
    <d v="2025-08-01T00:00:00"/>
    <n v="65"/>
    <n v="75"/>
    <n v="4875"/>
    <s v="Y"/>
    <n v="4631.25"/>
  </r>
  <r>
    <n v="279"/>
    <d v="2024-09-26T00:00:00"/>
    <x v="5"/>
    <x v="0"/>
    <s v="South"/>
    <s v="C140"/>
    <s v="Arogya Medical &amp; General"/>
    <s v="Hrishkesh Jadhv"/>
    <s v="Vitamin D3 60k"/>
    <s v="B21VD65"/>
    <d v="2026-09-01T00:00:00"/>
    <n v="28"/>
    <n v="55"/>
    <n v="1540"/>
    <s v="N"/>
    <n v="1540"/>
  </r>
  <r>
    <n v="280"/>
    <d v="2024-09-27T00:00:00"/>
    <x v="5"/>
    <x v="1"/>
    <s v="East"/>
    <s v="C150"/>
    <s v="MedEase"/>
    <s v="Siddant Patil"/>
    <s v="Antacid Tablets"/>
    <s v="B21AC09"/>
    <d v="2025-08-01T00:00:00"/>
    <n v="48"/>
    <n v="32"/>
    <n v="1536"/>
    <s v="N"/>
    <n v="1536"/>
  </r>
  <r>
    <n v="281"/>
    <d v="2024-09-28T00:00:00"/>
    <x v="5"/>
    <x v="2"/>
    <s v="North"/>
    <s v="C157"/>
    <s v="CityMed Pharmacy"/>
    <s v="Vikram Shah"/>
    <s v="Paracetamol 650mg"/>
    <s v="B23P654"/>
    <d v="2026-09-01T00:00:00"/>
    <n v="38"/>
    <n v="90"/>
    <n v="3420"/>
    <s v="N"/>
    <n v="3420"/>
  </r>
  <r>
    <n v="282"/>
    <d v="2024-09-29T00:00:00"/>
    <x v="5"/>
    <x v="3"/>
    <s v="West"/>
    <s v="C201"/>
    <s v="TrustCare Medicals"/>
    <s v="Pooja Sharma"/>
    <s v="Cough Syrup 100ml"/>
    <s v="B19CS05"/>
    <d v="2026-12-01T00:00:00"/>
    <n v="48"/>
    <n v="20"/>
    <n v="960"/>
    <s v="N"/>
    <n v="960"/>
  </r>
  <r>
    <n v="283"/>
    <d v="2024-09-30T00:00:00"/>
    <x v="5"/>
    <x v="4"/>
    <s v="North"/>
    <s v="C245"/>
    <s v="Lifeline Medicals"/>
    <s v="Harshal Singh"/>
    <s v="Vitamin  C Tablets"/>
    <s v="B22VC14"/>
    <d v="2026-10-01T00:00:00"/>
    <n v="58"/>
    <n v="35"/>
    <n v="2030"/>
    <s v="N"/>
    <n v="2030"/>
  </r>
  <r>
    <n v="284"/>
    <d v="2024-10-01T00:00:00"/>
    <x v="6"/>
    <x v="5"/>
    <s v="West"/>
    <s v="C160"/>
    <s v="CarePlus Medical Store"/>
    <s v="Riya Mishra"/>
    <s v="Amoxicillin 500mg"/>
    <s v="B21AX54"/>
    <d v="2026-03-02T00:00:00"/>
    <n v="35"/>
    <n v="42"/>
    <n v="1470"/>
    <s v="N"/>
    <n v="1470"/>
  </r>
  <r>
    <n v="285"/>
    <d v="2024-10-02T00:00:00"/>
    <x v="6"/>
    <x v="6"/>
    <s v="South"/>
    <s v="C101"/>
    <s v="Shree Medical &amp; General Store"/>
    <s v="Abhijeet Kulkarni"/>
    <s v="Hand Sanitizer 200ml"/>
    <s v="B20HS24"/>
    <d v="2026-12-25T00:00:00"/>
    <n v="22"/>
    <n v="22"/>
    <n v="484"/>
    <s v="N"/>
    <n v="484"/>
  </r>
  <r>
    <n v="286"/>
    <d v="2024-10-03T00:00:00"/>
    <x v="6"/>
    <x v="7"/>
    <s v="East"/>
    <s v="C132"/>
    <s v="JeevanCare Medical Store"/>
    <s v="Neha Patel"/>
    <s v="ORS Powder"/>
    <s v="B23OR05"/>
    <d v="2026-04-03T00:00:00"/>
    <n v="26"/>
    <n v="48"/>
    <n v="1248"/>
    <s v="N"/>
    <n v="1248"/>
  </r>
  <r>
    <n v="287"/>
    <d v="2024-10-04T00:00:00"/>
    <x v="6"/>
    <x v="0"/>
    <s v="North"/>
    <s v="C140"/>
    <s v="Arogya Medical &amp; General"/>
    <s v="Hrishkesh Jadhv"/>
    <s v="Zinc Tablets"/>
    <s v="B22ZC09"/>
    <d v="2026-06-05T00:00:00"/>
    <n v="68"/>
    <n v="95"/>
    <n v="6460"/>
    <s v="Y"/>
    <n v="6137"/>
  </r>
  <r>
    <n v="288"/>
    <d v="2024-10-05T00:00:00"/>
    <x v="6"/>
    <x v="0"/>
    <s v="West"/>
    <s v="C150"/>
    <s v="MedEase"/>
    <s v="Siddant Patil"/>
    <s v="Vitamin D3 60k"/>
    <s v="B21VD64"/>
    <d v="2026-10-02T00:00:00"/>
    <n v="45"/>
    <n v="18"/>
    <n v="810"/>
    <s v="N"/>
    <n v="810"/>
  </r>
  <r>
    <n v="289"/>
    <d v="2024-10-06T00:00:00"/>
    <x v="6"/>
    <x v="1"/>
    <s v="South"/>
    <s v="C157"/>
    <s v="CityMed Pharmacy"/>
    <s v="Vikram Shah"/>
    <s v="Antacid Tablets"/>
    <s v="B21AC08"/>
    <d v="2026-12-01T00:00:00"/>
    <n v="59"/>
    <n v="75"/>
    <n v="4425"/>
    <s v="N"/>
    <n v="4425"/>
  </r>
  <r>
    <n v="290"/>
    <d v="2024-10-07T00:00:00"/>
    <x v="6"/>
    <x v="2"/>
    <s v="East"/>
    <s v="C201"/>
    <s v="TrustCare Medicals"/>
    <s v="Pooja Sharma"/>
    <s v="Ciprofloxacin 500mg"/>
    <s v="B23CF54"/>
    <d v="2026-08-01T00:00:00"/>
    <n v="45"/>
    <n v="55"/>
    <n v="2475"/>
    <s v="N"/>
    <n v="2475"/>
  </r>
  <r>
    <n v="291"/>
    <d v="2024-10-08T00:00:00"/>
    <x v="6"/>
    <x v="3"/>
    <s v="North"/>
    <s v="C245"/>
    <s v="Lifeline Medicals"/>
    <s v="Harshal Singh"/>
    <s v="Antibiotic Ointment"/>
    <s v="B23AO14"/>
    <d v="2025-08-01T00:00:00"/>
    <n v="35"/>
    <n v="32"/>
    <n v="1120"/>
    <s v="N"/>
    <n v="1120"/>
  </r>
  <r>
    <n v="292"/>
    <d v="2024-10-09T00:00:00"/>
    <x v="6"/>
    <x v="4"/>
    <s v="West"/>
    <s v="C160"/>
    <s v="CarePlus Medical Store"/>
    <s v="Riya Mishra"/>
    <s v="Paracetamol 650mg"/>
    <s v="B23P655"/>
    <d v="2026-09-01T00:00:00"/>
    <n v="58"/>
    <n v="90"/>
    <n v="5220"/>
    <s v="N"/>
    <n v="5220"/>
  </r>
  <r>
    <n v="293"/>
    <d v="2024-10-10T00:00:00"/>
    <x v="6"/>
    <x v="5"/>
    <s v="South"/>
    <s v="C101"/>
    <s v="Shree Medical &amp; General Store"/>
    <s v="Abhijeet Kulkarni"/>
    <s v="Cough Syrup 100ml"/>
    <s v="B19CS06"/>
    <d v="2025-08-01T00:00:00"/>
    <n v="65"/>
    <n v="20"/>
    <n v="1300"/>
    <s v="Y"/>
    <n v="1235"/>
  </r>
  <r>
    <n v="294"/>
    <d v="2024-10-11T00:00:00"/>
    <x v="6"/>
    <x v="6"/>
    <s v="East"/>
    <s v="C132"/>
    <s v="JeevanCare Medical Store"/>
    <s v="Neha Patel"/>
    <s v="Vitamin  C Tablets"/>
    <s v="B22VC15"/>
    <d v="2026-09-01T00:00:00"/>
    <n v="28"/>
    <n v="35"/>
    <n v="980"/>
    <s v="N"/>
    <n v="980"/>
  </r>
  <r>
    <n v="295"/>
    <d v="2024-10-12T00:00:00"/>
    <x v="6"/>
    <x v="7"/>
    <s v="North"/>
    <s v="C101"/>
    <s v="Shree Medical &amp; General Store"/>
    <s v="Abhijeet Kulkarni"/>
    <s v="Amoxicillin 500mg"/>
    <s v="B21AX55"/>
    <d v="2026-12-01T00:00:00"/>
    <n v="48"/>
    <n v="42"/>
    <n v="2016"/>
    <s v="N"/>
    <n v="2016"/>
  </r>
  <r>
    <n v="296"/>
    <d v="2024-10-13T00:00:00"/>
    <x v="6"/>
    <x v="0"/>
    <s v="West"/>
    <s v="C132"/>
    <s v="JeevanCare Medical Store"/>
    <s v="Neha Patel"/>
    <s v="Hand Sanitizer 200ml"/>
    <s v="B20HS25"/>
    <d v="2026-10-01T00:00:00"/>
    <n v="38"/>
    <n v="22"/>
    <n v="836"/>
    <s v="N"/>
    <n v="836"/>
  </r>
  <r>
    <n v="297"/>
    <d v="2024-10-14T00:00:00"/>
    <x v="6"/>
    <x v="1"/>
    <s v="North"/>
    <s v="C140"/>
    <s v="Arogya Medical &amp; General"/>
    <s v="Hrishkesh Jadhv"/>
    <s v="ORS Powder"/>
    <s v="B23OR06"/>
    <d v="2026-03-02T00:00:00"/>
    <n v="48"/>
    <n v="48"/>
    <n v="2304"/>
    <s v="N"/>
    <n v="2304"/>
  </r>
  <r>
    <n v="298"/>
    <d v="2024-10-15T00:00:00"/>
    <x v="6"/>
    <x v="2"/>
    <s v="West"/>
    <s v="C150"/>
    <s v="MedEase"/>
    <s v="Siddant Patil"/>
    <s v="Zinc Tablets"/>
    <s v="B22ZC10"/>
    <d v="2026-12-25T00:00:00"/>
    <n v="58"/>
    <n v="95"/>
    <n v="5510"/>
    <s v="N"/>
    <n v="5510"/>
  </r>
  <r>
    <n v="299"/>
    <d v="2024-10-16T00:00:00"/>
    <x v="6"/>
    <x v="3"/>
    <s v="South"/>
    <s v="C157"/>
    <s v="CityMed Pharmacy"/>
    <s v="Vikram Shah"/>
    <s v="Paracetamol 650mg"/>
    <s v="B23P655"/>
    <d v="2026-04-03T00:00:00"/>
    <n v="35"/>
    <n v="18"/>
    <n v="630"/>
    <s v="N"/>
    <n v="630"/>
  </r>
  <r>
    <n v="300"/>
    <d v="2024-10-17T00:00:00"/>
    <x v="6"/>
    <x v="4"/>
    <s v="East"/>
    <s v="C201"/>
    <s v="TrustCare Medicals"/>
    <s v="Pooja Sharma"/>
    <s v="Cough Syrup 100ml"/>
    <s v="B19CS06"/>
    <d v="2026-06-05T00:00:00"/>
    <n v="22"/>
    <n v="75"/>
    <n v="1650"/>
    <s v="N"/>
    <n v="1650"/>
  </r>
  <r>
    <n v="301"/>
    <d v="2024-10-18T00:00:00"/>
    <x v="6"/>
    <x v="5"/>
    <s v="North"/>
    <s v="C245"/>
    <s v="Lifeline Medicals"/>
    <s v="Harshal Singh"/>
    <s v="Vitamin  C Tablets"/>
    <s v="B22VC15"/>
    <d v="2026-10-02T00:00:00"/>
    <n v="26"/>
    <n v="55"/>
    <n v="1430"/>
    <s v="N"/>
    <n v="1430"/>
  </r>
  <r>
    <n v="302"/>
    <d v="2024-10-19T00:00:00"/>
    <x v="6"/>
    <x v="6"/>
    <s v="West"/>
    <s v="C160"/>
    <s v="CarePlus Medical Store"/>
    <s v="Riya Mishra"/>
    <s v="Amoxicillin 500mg"/>
    <s v="B21AX55"/>
    <d v="2026-12-01T00:00:00"/>
    <n v="68"/>
    <n v="32"/>
    <n v="2176"/>
    <s v="Y"/>
    <n v="2067.1999999999998"/>
  </r>
  <r>
    <n v="303"/>
    <d v="2024-10-20T00:00:00"/>
    <x v="6"/>
    <x v="7"/>
    <s v="South"/>
    <s v="C101"/>
    <s v="Shree Medical &amp; General Store"/>
    <s v="Abhijeet Kulkarni"/>
    <s v="Hand Sanitizer 200ml"/>
    <s v="B20HS25"/>
    <d v="2026-08-01T00:00:00"/>
    <n v="45"/>
    <n v="90"/>
    <n v="4050"/>
    <s v="N"/>
    <n v="4050"/>
  </r>
  <r>
    <n v="304"/>
    <d v="2024-10-21T00:00:00"/>
    <x v="6"/>
    <x v="0"/>
    <s v="East"/>
    <s v="C132"/>
    <s v="JeevanCare Medical Store"/>
    <s v="Neha Patel"/>
    <s v="ORS Powder"/>
    <s v="B23OR06"/>
    <d v="2025-08-01T00:00:00"/>
    <n v="59"/>
    <n v="20"/>
    <n v="1180"/>
    <s v="N"/>
    <n v="1180"/>
  </r>
  <r>
    <n v="305"/>
    <d v="2024-10-22T00:00:00"/>
    <x v="6"/>
    <x v="0"/>
    <s v="North"/>
    <s v="C140"/>
    <s v="Arogya Medical &amp; General"/>
    <s v="Hrishkesh Jadhv"/>
    <s v="Zinc Tablets"/>
    <s v="B22ZC10"/>
    <d v="2026-09-01T00:00:00"/>
    <n v="45"/>
    <n v="35"/>
    <n v="1575"/>
    <s v="N"/>
    <n v="1575"/>
  </r>
  <r>
    <n v="306"/>
    <d v="2024-10-23T00:00:00"/>
    <x v="6"/>
    <x v="1"/>
    <s v="West"/>
    <s v="C150"/>
    <s v="MedEase"/>
    <s v="Siddant Patil"/>
    <s v="Vitamin D3 60k"/>
    <s v="B21VD65"/>
    <d v="2025-08-01T00:00:00"/>
    <n v="35"/>
    <n v="42"/>
    <n v="1470"/>
    <s v="N"/>
    <n v="1470"/>
  </r>
  <r>
    <n v="307"/>
    <d v="2024-10-24T00:00:00"/>
    <x v="6"/>
    <x v="2"/>
    <s v="South"/>
    <s v="C157"/>
    <s v="CityMed Pharmacy"/>
    <s v="Vikram Shah"/>
    <s v="Antacid Tablets"/>
    <s v="B21AC09"/>
    <d v="2026-09-01T00:00:00"/>
    <n v="58"/>
    <n v="22"/>
    <n v="1276"/>
    <s v="N"/>
    <n v="1276"/>
  </r>
  <r>
    <n v="308"/>
    <d v="2024-10-25T00:00:00"/>
    <x v="6"/>
    <x v="3"/>
    <s v="East"/>
    <s v="C201"/>
    <s v="TrustCare Medicals"/>
    <s v="Pooja Sharma"/>
    <s v="Ciprofloxacin 500mg"/>
    <s v="B23CF55"/>
    <d v="2026-12-01T00:00:00"/>
    <n v="65"/>
    <n v="48"/>
    <n v="3120"/>
    <s v="Y"/>
    <n v="2964"/>
  </r>
  <r>
    <n v="309"/>
    <d v="2024-10-26T00:00:00"/>
    <x v="6"/>
    <x v="4"/>
    <s v="North"/>
    <s v="C245"/>
    <s v="Lifeline Medicals"/>
    <s v="Harshal Singh"/>
    <s v="Antibiotic Ointment"/>
    <s v="B23AO15"/>
    <d v="2026-10-01T00:00:00"/>
    <n v="28"/>
    <n v="95"/>
    <n v="2660"/>
    <s v="N"/>
    <n v="2660"/>
  </r>
  <r>
    <n v="310"/>
    <d v="2024-10-27T00:00:00"/>
    <x v="6"/>
    <x v="5"/>
    <s v="West"/>
    <s v="C160"/>
    <s v="CarePlus Medical Store"/>
    <s v="Riya Mishra"/>
    <s v="Paracetamol 650mg"/>
    <s v="B23P656"/>
    <d v="2026-03-02T00:00:00"/>
    <n v="48"/>
    <n v="18"/>
    <n v="864"/>
    <s v="N"/>
    <n v="864"/>
  </r>
  <r>
    <n v="311"/>
    <d v="2024-10-28T00:00:00"/>
    <x v="6"/>
    <x v="6"/>
    <s v="North"/>
    <s v="C101"/>
    <s v="Shree Medical &amp; General Store"/>
    <s v="Abhijeet Kulkarni"/>
    <s v="Cough Syrup 100ml"/>
    <s v="B19CS07"/>
    <d v="2026-12-25T00:00:00"/>
    <n v="38"/>
    <n v="75"/>
    <n v="2850"/>
    <s v="N"/>
    <n v="2850"/>
  </r>
  <r>
    <n v="312"/>
    <d v="2024-10-29T00:00:00"/>
    <x v="6"/>
    <x v="7"/>
    <s v="West"/>
    <s v="C132"/>
    <s v="JeevanCare Medical Store"/>
    <s v="Neha Patel"/>
    <s v="Vitamin  C Tablets"/>
    <s v="B22VC16"/>
    <d v="2026-04-03T00:00:00"/>
    <n v="48"/>
    <n v="55"/>
    <n v="2640"/>
    <s v="N"/>
    <n v="2640"/>
  </r>
  <r>
    <n v="313"/>
    <d v="2024-10-30T00:00:00"/>
    <x v="6"/>
    <x v="0"/>
    <s v="South"/>
    <s v="C140"/>
    <s v="Arogya Medical &amp; General"/>
    <s v="Hrishkesh Jadhv"/>
    <s v="Amoxicillin 500mg"/>
    <s v="B21AX56"/>
    <d v="2026-06-05T00:00:00"/>
    <n v="58"/>
    <n v="32"/>
    <n v="1856"/>
    <s v="N"/>
    <n v="1856"/>
  </r>
  <r>
    <n v="314"/>
    <d v="2024-10-31T00:00:00"/>
    <x v="6"/>
    <x v="1"/>
    <s v="East"/>
    <s v="C150"/>
    <s v="MedEase"/>
    <s v="Siddant Patil"/>
    <s v="Hand Sanitizer 200ml"/>
    <s v="B20HS26"/>
    <d v="2026-10-02T00:00:00"/>
    <n v="35"/>
    <n v="90"/>
    <n v="3150"/>
    <s v="N"/>
    <n v="3150"/>
  </r>
  <r>
    <n v="315"/>
    <d v="2024-11-01T00:00:00"/>
    <x v="7"/>
    <x v="2"/>
    <s v="North"/>
    <s v="C157"/>
    <s v="CityMed Pharmacy"/>
    <s v="Vikram Shah"/>
    <s v="ORS Powder"/>
    <s v="B23OR07"/>
    <d v="2026-12-01T00:00:00"/>
    <n v="22"/>
    <n v="20"/>
    <n v="440"/>
    <s v="N"/>
    <n v="440"/>
  </r>
  <r>
    <n v="316"/>
    <d v="2024-11-02T00:00:00"/>
    <x v="7"/>
    <x v="3"/>
    <s v="West"/>
    <s v="C201"/>
    <s v="TrustCare Medicals"/>
    <s v="Pooja Sharma"/>
    <s v="Zinc Tablets"/>
    <s v="B22ZC11"/>
    <d v="2026-08-01T00:00:00"/>
    <n v="26"/>
    <n v="35"/>
    <n v="910"/>
    <s v="N"/>
    <n v="910"/>
  </r>
  <r>
    <n v="317"/>
    <d v="2024-11-03T00:00:00"/>
    <x v="7"/>
    <x v="4"/>
    <s v="South"/>
    <s v="C245"/>
    <s v="Lifeline Medicals"/>
    <s v="Harshal Singh"/>
    <s v="Paracetamol 650mg"/>
    <s v="B23P656"/>
    <d v="2025-08-01T00:00:00"/>
    <n v="68"/>
    <n v="42"/>
    <n v="2856"/>
    <s v="Y"/>
    <n v="2713.2"/>
  </r>
  <r>
    <n v="318"/>
    <d v="2024-11-04T00:00:00"/>
    <x v="7"/>
    <x v="5"/>
    <s v="East"/>
    <s v="C160"/>
    <s v="CarePlus Medical Store"/>
    <s v="Riya Mishra"/>
    <s v="Cough Syrup 100ml"/>
    <s v="B19CS07"/>
    <d v="2026-09-01T00:00:00"/>
    <n v="45"/>
    <n v="22"/>
    <n v="990"/>
    <s v="N"/>
    <n v="990"/>
  </r>
  <r>
    <n v="319"/>
    <d v="2024-11-05T00:00:00"/>
    <x v="7"/>
    <x v="6"/>
    <s v="North"/>
    <s v="C101"/>
    <s v="Shree Medical &amp; General Store"/>
    <s v="Abhijeet Kulkarni"/>
    <s v="Vitamin  C Tablets"/>
    <s v="B22VC16"/>
    <d v="2025-08-01T00:00:00"/>
    <n v="59"/>
    <n v="48"/>
    <n v="2832"/>
    <s v="N"/>
    <n v="2832"/>
  </r>
  <r>
    <n v="320"/>
    <d v="2024-11-06T00:00:00"/>
    <x v="7"/>
    <x v="7"/>
    <s v="West"/>
    <s v="C132"/>
    <s v="JeevanCare Medical Store"/>
    <s v="Neha Patel"/>
    <s v="Amoxicillin 500mg"/>
    <s v="B21AX56"/>
    <d v="2026-09-01T00:00:00"/>
    <n v="45"/>
    <n v="95"/>
    <n v="4275"/>
    <s v="N"/>
    <n v="4275"/>
  </r>
  <r>
    <n v="321"/>
    <d v="2024-11-07T00:00:00"/>
    <x v="7"/>
    <x v="0"/>
    <s v="South"/>
    <s v="C140"/>
    <s v="Arogya Medical &amp; General"/>
    <s v="Hrishkesh Jadhv"/>
    <s v="Hand Sanitizer 200ml"/>
    <s v="B20HS26"/>
    <d v="2026-12-01T00:00:00"/>
    <n v="35"/>
    <n v="18"/>
    <n v="630"/>
    <s v="N"/>
    <n v="630"/>
  </r>
  <r>
    <n v="322"/>
    <d v="2024-11-08T00:00:00"/>
    <x v="7"/>
    <x v="0"/>
    <s v="East"/>
    <s v="C150"/>
    <s v="MedEase"/>
    <s v="Siddant Patil"/>
    <s v="ORS Powder"/>
    <s v="B23OR07"/>
    <d v="2026-10-01T00:00:00"/>
    <n v="58"/>
    <n v="75"/>
    <n v="4350"/>
    <s v="N"/>
    <n v="4350"/>
  </r>
  <r>
    <n v="323"/>
    <d v="2024-11-09T00:00:00"/>
    <x v="7"/>
    <x v="1"/>
    <s v="North"/>
    <s v="C157"/>
    <s v="CityMed Pharmacy"/>
    <s v="Vikram Shah"/>
    <s v="Zinc Tablets"/>
    <s v="B22ZC11"/>
    <d v="2026-03-02T00:00:00"/>
    <n v="65"/>
    <n v="55"/>
    <n v="3575"/>
    <s v="Y"/>
    <n v="3396.25"/>
  </r>
  <r>
    <n v="324"/>
    <d v="2024-11-10T00:00:00"/>
    <x v="7"/>
    <x v="2"/>
    <s v="West"/>
    <s v="C201"/>
    <s v="TrustCare Medicals"/>
    <s v="Pooja Sharma"/>
    <s v="Vitamin D3 60k"/>
    <s v="B21VD66"/>
    <d v="2026-12-25T00:00:00"/>
    <n v="28"/>
    <n v="32"/>
    <n v="896"/>
    <s v="N"/>
    <n v="896"/>
  </r>
  <r>
    <n v="325"/>
    <d v="2024-11-11T00:00:00"/>
    <x v="7"/>
    <x v="3"/>
    <s v="North"/>
    <s v="C245"/>
    <s v="Lifeline Medicals"/>
    <s v="Harshal Singh"/>
    <s v="Antacid Tablets"/>
    <s v="B21AC10"/>
    <d v="2026-04-03T00:00:00"/>
    <n v="48"/>
    <n v="90"/>
    <n v="4320"/>
    <s v="N"/>
    <n v="4320"/>
  </r>
  <r>
    <n v="326"/>
    <d v="2024-11-12T00:00:00"/>
    <x v="7"/>
    <x v="4"/>
    <s v="West"/>
    <s v="C160"/>
    <s v="CarePlus Medical Store"/>
    <s v="Riya Mishra"/>
    <s v="Paracetamol 650mg"/>
    <s v="B23P655"/>
    <d v="2026-06-05T00:00:00"/>
    <n v="38"/>
    <n v="20"/>
    <n v="760"/>
    <s v="N"/>
    <n v="760"/>
  </r>
  <r>
    <n v="327"/>
    <d v="2024-11-13T00:00:00"/>
    <x v="7"/>
    <x v="5"/>
    <s v="South"/>
    <s v="C101"/>
    <s v="Shree Medical &amp; General Store"/>
    <s v="Abhijeet Kulkarni"/>
    <s v="Cough Syrup 100ml"/>
    <s v="B19CS06"/>
    <d v="2026-10-02T00:00:00"/>
    <n v="48"/>
    <n v="35"/>
    <n v="1680"/>
    <s v="N"/>
    <n v="1680"/>
  </r>
  <r>
    <n v="328"/>
    <d v="2024-11-14T00:00:00"/>
    <x v="7"/>
    <x v="6"/>
    <s v="East"/>
    <s v="C132"/>
    <s v="JeevanCare Medical Store"/>
    <s v="Neha Patel"/>
    <s v="Vitamin  C Tablets"/>
    <s v="B22VC15"/>
    <d v="2026-12-01T00:00:00"/>
    <n v="58"/>
    <n v="42"/>
    <n v="2436"/>
    <s v="N"/>
    <n v="2436"/>
  </r>
  <r>
    <n v="329"/>
    <d v="2024-11-15T00:00:00"/>
    <x v="7"/>
    <x v="7"/>
    <s v="North"/>
    <s v="C140"/>
    <s v="Arogya Medical &amp; General"/>
    <s v="Hrishkesh Jadhv"/>
    <s v="Amoxicillin 500mg"/>
    <s v="B21AX55"/>
    <d v="2026-08-01T00:00:00"/>
    <n v="35"/>
    <n v="22"/>
    <n v="770"/>
    <s v="N"/>
    <n v="770"/>
  </r>
  <r>
    <n v="330"/>
    <d v="2024-11-16T00:00:00"/>
    <x v="7"/>
    <x v="0"/>
    <s v="West"/>
    <s v="C150"/>
    <s v="MedEase"/>
    <s v="Siddant Patil"/>
    <s v="Hand Sanitizer 200ml"/>
    <s v="B20HS25"/>
    <d v="2025-08-01T00:00:00"/>
    <n v="22"/>
    <n v="48"/>
    <n v="1056"/>
    <s v="N"/>
    <n v="1056"/>
  </r>
  <r>
    <n v="331"/>
    <d v="2024-11-17T00:00:00"/>
    <x v="7"/>
    <x v="1"/>
    <s v="South"/>
    <s v="C157"/>
    <s v="CityMed Pharmacy"/>
    <s v="Vikram Shah"/>
    <s v="ORS Powder"/>
    <s v="B23OR06"/>
    <d v="2026-09-01T00:00:00"/>
    <n v="26"/>
    <n v="95"/>
    <n v="2470"/>
    <s v="N"/>
    <n v="2470"/>
  </r>
  <r>
    <n v="332"/>
    <d v="2024-11-18T00:00:00"/>
    <x v="7"/>
    <x v="2"/>
    <s v="East"/>
    <s v="C201"/>
    <s v="TrustCare Medicals"/>
    <s v="Pooja Sharma"/>
    <s v="Zinc Tablets"/>
    <s v="B22ZC10"/>
    <d v="2025-08-01T00:00:00"/>
    <n v="68"/>
    <n v="18"/>
    <n v="1224"/>
    <s v="Y"/>
    <n v="1162.8"/>
  </r>
  <r>
    <n v="333"/>
    <d v="2024-11-19T00:00:00"/>
    <x v="7"/>
    <x v="3"/>
    <s v="North"/>
    <s v="C245"/>
    <s v="Lifeline Medicals"/>
    <s v="Harshal Singh"/>
    <s v="Vitamin D3 60k"/>
    <s v="B21VD65"/>
    <d v="2026-09-01T00:00:00"/>
    <n v="45"/>
    <n v="75"/>
    <n v="3375"/>
    <s v="N"/>
    <n v="3375"/>
  </r>
  <r>
    <n v="334"/>
    <d v="2024-11-20T00:00:00"/>
    <x v="7"/>
    <x v="4"/>
    <s v="West"/>
    <s v="C160"/>
    <s v="CarePlus Medical Store"/>
    <s v="Riya Mishra"/>
    <s v="Antacid Tablets"/>
    <s v="B21AC09"/>
    <d v="2026-12-01T00:00:00"/>
    <n v="59"/>
    <n v="55"/>
    <n v="3245"/>
    <s v="N"/>
    <n v="3245"/>
  </r>
  <r>
    <n v="335"/>
    <d v="2024-11-21T00:00:00"/>
    <x v="7"/>
    <x v="5"/>
    <s v="South"/>
    <s v="C101"/>
    <s v="Shree Medical &amp; General Store"/>
    <s v="Abhijeet Kulkarni"/>
    <s v="Ciprofloxacin 500mg"/>
    <s v="B23CF55"/>
    <d v="2026-10-01T00:00:00"/>
    <n v="45"/>
    <n v="32"/>
    <n v="1440"/>
    <s v="N"/>
    <n v="1440"/>
  </r>
  <r>
    <n v="336"/>
    <d v="2024-11-22T00:00:00"/>
    <x v="7"/>
    <x v="6"/>
    <s v="East"/>
    <s v="C132"/>
    <s v="JeevanCare Medical Store"/>
    <s v="Neha Patel"/>
    <s v="Antibiotic Ointment"/>
    <s v="B23AO15"/>
    <d v="2026-03-02T00:00:00"/>
    <n v="35"/>
    <n v="90"/>
    <n v="3150"/>
    <s v="N"/>
    <n v="3150"/>
  </r>
  <r>
    <n v="337"/>
    <d v="2024-11-23T00:00:00"/>
    <x v="7"/>
    <x v="7"/>
    <s v="North"/>
    <s v="C140"/>
    <s v="Arogya Medical &amp; General"/>
    <s v="Hrishkesh Jadhv"/>
    <s v="Paracetamol 650mg"/>
    <s v="B23P656"/>
    <d v="2026-12-25T00:00:00"/>
    <n v="58"/>
    <n v="20"/>
    <n v="1160"/>
    <s v="N"/>
    <n v="1160"/>
  </r>
  <r>
    <n v="338"/>
    <d v="2024-11-24T00:00:00"/>
    <x v="7"/>
    <x v="0"/>
    <s v="West"/>
    <s v="C150"/>
    <s v="MedEase"/>
    <s v="Siddant Patil"/>
    <s v="Cough Syrup 100ml"/>
    <s v="B19CS07"/>
    <d v="2026-04-03T00:00:00"/>
    <n v="65"/>
    <n v="35"/>
    <n v="2275"/>
    <s v="Y"/>
    <n v="2161.25"/>
  </r>
  <r>
    <n v="339"/>
    <d v="2024-11-25T00:00:00"/>
    <x v="7"/>
    <x v="0"/>
    <s v="North"/>
    <s v="C157"/>
    <s v="CityMed Pharmacy"/>
    <s v="Vikram Shah"/>
    <s v="Vitamin  C Tablets"/>
    <s v="B22VC16"/>
    <d v="2026-06-05T00:00:00"/>
    <n v="28"/>
    <n v="42"/>
    <n v="1176"/>
    <s v="N"/>
    <n v="1176"/>
  </r>
  <r>
    <n v="340"/>
    <d v="2024-11-26T00:00:00"/>
    <x v="7"/>
    <x v="1"/>
    <s v="West"/>
    <s v="C201"/>
    <s v="TrustCare Medicals"/>
    <s v="Pooja Sharma"/>
    <s v="Amoxicillin 500mg"/>
    <s v="B21AX56"/>
    <d v="2026-10-02T00:00:00"/>
    <n v="48"/>
    <n v="22"/>
    <n v="1056"/>
    <s v="N"/>
    <n v="1056"/>
  </r>
  <r>
    <n v="341"/>
    <d v="2024-11-27T00:00:00"/>
    <x v="7"/>
    <x v="2"/>
    <s v="South"/>
    <s v="C245"/>
    <s v="Lifeline Medicals"/>
    <s v="Harshal Singh"/>
    <s v="Hand Sanitizer 200ml"/>
    <s v="B20HS26"/>
    <d v="2026-12-01T00:00:00"/>
    <n v="38"/>
    <n v="48"/>
    <n v="1824"/>
    <s v="N"/>
    <n v="1824"/>
  </r>
  <r>
    <n v="342"/>
    <d v="2024-11-28T00:00:00"/>
    <x v="7"/>
    <x v="3"/>
    <s v="East"/>
    <s v="C160"/>
    <s v="CarePlus Medical Store"/>
    <s v="Riya Mishra"/>
    <s v="ORS Powder"/>
    <s v="B23OR07"/>
    <d v="2026-08-01T00:00:00"/>
    <n v="48"/>
    <n v="95"/>
    <n v="4560"/>
    <s v="N"/>
    <n v="4560"/>
  </r>
  <r>
    <n v="343"/>
    <d v="2024-11-29T00:00:00"/>
    <x v="7"/>
    <x v="4"/>
    <s v="North"/>
    <s v="C101"/>
    <s v="Shree Medical &amp; General Store"/>
    <s v="Abhijeet Kulkarni"/>
    <s v="Zinc Tablets"/>
    <s v="B22ZC11"/>
    <d v="2025-08-01T00:00:00"/>
    <n v="58"/>
    <n v="18"/>
    <n v="1044"/>
    <s v="N"/>
    <n v="1044"/>
  </r>
  <r>
    <n v="344"/>
    <d v="2024-11-30T00:00:00"/>
    <x v="7"/>
    <x v="5"/>
    <s v="West"/>
    <s v="C132"/>
    <s v="JeevanCare Medical Store"/>
    <s v="Neha Patel"/>
    <s v="Paracetamol 650mg"/>
    <s v="B23P656"/>
    <d v="2026-09-01T00:00:00"/>
    <n v="35"/>
    <n v="75"/>
    <n v="2625"/>
    <s v="N"/>
    <n v="2625"/>
  </r>
  <r>
    <n v="345"/>
    <d v="2024-12-01T00:00:00"/>
    <x v="8"/>
    <x v="6"/>
    <s v="South"/>
    <s v="C140"/>
    <s v="Arogya Medical &amp; General"/>
    <s v="Hrishkesh Jadhv"/>
    <s v="Cough Syrup 100ml"/>
    <s v="B19CS07"/>
    <d v="2025-08-01T00:00:00"/>
    <n v="22"/>
    <n v="55"/>
    <n v="1210"/>
    <s v="N"/>
    <n v="1210"/>
  </r>
  <r>
    <n v="346"/>
    <d v="2024-12-02T00:00:00"/>
    <x v="8"/>
    <x v="7"/>
    <s v="East"/>
    <s v="C150"/>
    <s v="MedEase"/>
    <s v="Siddant Patil"/>
    <s v="Vitamin  C Tablets"/>
    <s v="B22VC16"/>
    <d v="2026-09-01T00:00:00"/>
    <n v="26"/>
    <n v="32"/>
    <n v="832"/>
    <s v="N"/>
    <n v="832"/>
  </r>
  <r>
    <n v="347"/>
    <d v="2024-12-03T00:00:00"/>
    <x v="8"/>
    <x v="0"/>
    <s v="North"/>
    <s v="C157"/>
    <s v="CityMed Pharmacy"/>
    <s v="Vikram Shah"/>
    <s v="Amoxicillin 500mg"/>
    <s v="B21AX56"/>
    <d v="2026-12-01T00:00:00"/>
    <n v="68"/>
    <n v="90"/>
    <n v="6120"/>
    <s v="Y"/>
    <n v="5814"/>
  </r>
  <r>
    <n v="348"/>
    <d v="2024-12-04T00:00:00"/>
    <x v="8"/>
    <x v="1"/>
    <s v="West"/>
    <s v="C201"/>
    <s v="TrustCare Medicals"/>
    <s v="Pooja Sharma"/>
    <s v="Hand Sanitizer 200ml"/>
    <s v="B20HS26"/>
    <d v="2026-10-01T00:00:00"/>
    <n v="45"/>
    <n v="20"/>
    <n v="900"/>
    <s v="N"/>
    <n v="900"/>
  </r>
  <r>
    <n v="349"/>
    <d v="2024-12-05T00:00:00"/>
    <x v="8"/>
    <x v="2"/>
    <s v="South"/>
    <s v="C245"/>
    <s v="Lifeline Medicals"/>
    <s v="Harshal Singh"/>
    <s v="ORS Powder"/>
    <s v="B23OR07"/>
    <d v="2026-03-02T00:00:00"/>
    <n v="59"/>
    <n v="35"/>
    <n v="2065"/>
    <s v="N"/>
    <n v="2065"/>
  </r>
  <r>
    <n v="350"/>
    <d v="2024-12-06T00:00:00"/>
    <x v="8"/>
    <x v="3"/>
    <s v="East"/>
    <s v="C160"/>
    <s v="CarePlus Medical Store"/>
    <s v="Riya Mishra"/>
    <s v="Zinc Tablets"/>
    <s v="B22ZC11"/>
    <d v="2026-12-25T00:00:00"/>
    <n v="45"/>
    <n v="42"/>
    <n v="1890"/>
    <s v="N"/>
    <n v="1890"/>
  </r>
  <r>
    <n v="351"/>
    <d v="2024-12-07T00:00:00"/>
    <x v="8"/>
    <x v="4"/>
    <s v="North"/>
    <s v="C101"/>
    <s v="Shree Medical &amp; General Store"/>
    <s v="Abhijeet Kulkarni"/>
    <s v="Vitamin D3 60k"/>
    <s v="B21VD66"/>
    <d v="2026-04-03T00:00:00"/>
    <n v="35"/>
    <n v="22"/>
    <n v="770"/>
    <s v="N"/>
    <n v="770"/>
  </r>
  <r>
    <n v="352"/>
    <d v="2024-12-08T00:00:00"/>
    <x v="8"/>
    <x v="5"/>
    <s v="West"/>
    <s v="C132"/>
    <s v="JeevanCare Medical Store"/>
    <s v="Neha Patel"/>
    <s v="Antacid Tablets"/>
    <s v="B21AC10"/>
    <d v="2026-06-05T00:00:00"/>
    <n v="58"/>
    <n v="48"/>
    <n v="2784"/>
    <s v="N"/>
    <n v="2784"/>
  </r>
  <r>
    <n v="353"/>
    <d v="2024-12-09T00:00:00"/>
    <x v="8"/>
    <x v="6"/>
    <s v="North"/>
    <s v="C140"/>
    <s v="Arogya Medical &amp; General"/>
    <s v="Hrishkesh Jadhv"/>
    <s v="Ciprofloxacin 500mg"/>
    <s v="B23CF56"/>
    <d v="2026-10-02T00:00:00"/>
    <n v="65"/>
    <n v="95"/>
    <n v="6175"/>
    <s v="Y"/>
    <n v="5866.25"/>
  </r>
  <r>
    <n v="354"/>
    <d v="2024-12-10T00:00:00"/>
    <x v="8"/>
    <x v="7"/>
    <s v="West"/>
    <s v="C150"/>
    <s v="MedEase"/>
    <s v="Siddant Patil"/>
    <s v="Antibiotic Ointment"/>
    <s v="B23AO16"/>
    <d v="2026-12-01T00:00:00"/>
    <n v="28"/>
    <n v="18"/>
    <n v="504"/>
    <s v="N"/>
    <n v="504"/>
  </r>
  <r>
    <n v="355"/>
    <d v="2024-12-11T00:00:00"/>
    <x v="8"/>
    <x v="0"/>
    <s v="South"/>
    <s v="C157"/>
    <s v="CityMed Pharmacy"/>
    <s v="Vikram Shah"/>
    <s v="Paracetamol 650mg"/>
    <s v="B23P657"/>
    <d v="2026-09-01T00:00:00"/>
    <n v="48"/>
    <n v="75"/>
    <n v="3600"/>
    <s v="N"/>
    <n v="3600"/>
  </r>
  <r>
    <n v="356"/>
    <d v="2024-12-12T00:00:00"/>
    <x v="8"/>
    <x v="0"/>
    <s v="East"/>
    <s v="C201"/>
    <s v="TrustCare Medicals"/>
    <s v="Pooja Sharma"/>
    <s v="Cough Syrup 100ml"/>
    <s v="B19CS08"/>
    <d v="2025-08-01T00:00:00"/>
    <n v="38"/>
    <n v="55"/>
    <n v="2090"/>
    <s v="N"/>
    <n v="2090"/>
  </r>
  <r>
    <n v="357"/>
    <d v="2024-12-13T00:00:00"/>
    <x v="8"/>
    <x v="1"/>
    <s v="North"/>
    <s v="C245"/>
    <s v="Lifeline Medicals"/>
    <s v="Harshal Singh"/>
    <s v="Vitamin  C Tablets"/>
    <s v="B22VC17"/>
    <d v="2026-09-01T00:00:00"/>
    <n v="48"/>
    <n v="32"/>
    <n v="1536"/>
    <s v="N"/>
    <n v="1536"/>
  </r>
  <r>
    <n v="358"/>
    <d v="2024-12-14T00:00:00"/>
    <x v="8"/>
    <x v="2"/>
    <s v="West"/>
    <s v="C160"/>
    <s v="CarePlus Medical Store"/>
    <s v="Riya Mishra"/>
    <s v="Amoxicillin 500mg"/>
    <s v="B21AX57"/>
    <d v="2026-12-01T00:00:00"/>
    <n v="58"/>
    <n v="90"/>
    <n v="5220"/>
    <s v="N"/>
    <n v="5220"/>
  </r>
  <r>
    <n v="359"/>
    <d v="2024-12-15T00:00:00"/>
    <x v="8"/>
    <x v="3"/>
    <s v="South"/>
    <s v="C101"/>
    <s v="Shree Medical &amp; General Store"/>
    <s v="Abhijeet Kulkarni"/>
    <s v="Hand Sanitizer 200ml"/>
    <s v="B20HS27"/>
    <d v="2026-10-01T00:00:00"/>
    <n v="35"/>
    <n v="20"/>
    <n v="700"/>
    <s v="N"/>
    <n v="700"/>
  </r>
  <r>
    <n v="360"/>
    <d v="2024-12-16T00:00:00"/>
    <x v="8"/>
    <x v="4"/>
    <s v="East"/>
    <s v="C132"/>
    <s v="JeevanCare Medical Store"/>
    <s v="Neha Patel"/>
    <s v="ORS Powder"/>
    <s v="B23OR08"/>
    <d v="2026-03-02T00:00:00"/>
    <n v="22"/>
    <n v="35"/>
    <n v="770"/>
    <s v="N"/>
    <n v="770"/>
  </r>
  <r>
    <n v="361"/>
    <d v="2024-12-17T00:00:00"/>
    <x v="8"/>
    <x v="5"/>
    <s v="North"/>
    <s v="C140"/>
    <s v="Arogya Medical &amp; General"/>
    <s v="Hrishkesh Jadhv"/>
    <s v="Zinc Tablets"/>
    <s v="B22ZC12"/>
    <d v="2026-12-25T00:00:00"/>
    <n v="26"/>
    <n v="42"/>
    <n v="1092"/>
    <s v="N"/>
    <n v="1092"/>
  </r>
  <r>
    <n v="362"/>
    <d v="2024-12-18T00:00:00"/>
    <x v="8"/>
    <x v="6"/>
    <s v="West"/>
    <s v="C150"/>
    <s v="MedEase"/>
    <s v="Siddant Patil"/>
    <s v="Paracetamol 650mg"/>
    <s v="B23P657"/>
    <d v="2026-04-03T00:00:00"/>
    <n v="68"/>
    <n v="22"/>
    <n v="1496"/>
    <s v="Y"/>
    <n v="1421.2"/>
  </r>
  <r>
    <n v="363"/>
    <d v="2024-12-19T00:00:00"/>
    <x v="8"/>
    <x v="7"/>
    <s v="South"/>
    <s v="C157"/>
    <s v="CityMed Pharmacy"/>
    <s v="Vikram Shah"/>
    <s v="Cough Syrup 100ml"/>
    <s v="B19CS08"/>
    <d v="2026-06-05T00:00:00"/>
    <n v="45"/>
    <n v="48"/>
    <n v="2160"/>
    <s v="N"/>
    <n v="2160"/>
  </r>
  <r>
    <n v="364"/>
    <d v="2024-12-20T00:00:00"/>
    <x v="8"/>
    <x v="0"/>
    <s v="East"/>
    <s v="C201"/>
    <s v="TrustCare Medicals"/>
    <s v="Pooja Sharma"/>
    <s v="Vitamin  C Tablets"/>
    <s v="B22VC17"/>
    <d v="2026-10-02T00:00:00"/>
    <n v="59"/>
    <n v="95"/>
    <n v="5605"/>
    <s v="N"/>
    <n v="5605"/>
  </r>
  <r>
    <n v="365"/>
    <d v="2024-12-21T00:00:00"/>
    <x v="8"/>
    <x v="1"/>
    <s v="North"/>
    <s v="C245"/>
    <s v="Lifeline Medicals"/>
    <s v="Harshal Singh"/>
    <s v="Amoxicillin 500mg"/>
    <s v="B21AX57"/>
    <d v="2026-12-01T00:00:00"/>
    <n v="45"/>
    <n v="18"/>
    <n v="810"/>
    <s v="N"/>
    <n v="810"/>
  </r>
  <r>
    <n v="366"/>
    <d v="2024-12-22T00:00:00"/>
    <x v="8"/>
    <x v="2"/>
    <s v="West"/>
    <s v="C160"/>
    <s v="CarePlus Medical Store"/>
    <s v="Riya Mishra"/>
    <s v="Hand Sanitizer 200ml"/>
    <s v="B20HS27"/>
    <d v="2026-09-01T00:00:00"/>
    <n v="35"/>
    <n v="75"/>
    <n v="2625"/>
    <s v="N"/>
    <n v="2625"/>
  </r>
  <r>
    <n v="367"/>
    <d v="2024-12-23T00:00:00"/>
    <x v="8"/>
    <x v="3"/>
    <s v="North"/>
    <s v="C101"/>
    <s v="Shree Medical &amp; General Store"/>
    <s v="Abhijeet Kulkarni"/>
    <s v="ORS Powder"/>
    <s v="B23OR08"/>
    <d v="2025-08-01T00:00:00"/>
    <n v="58"/>
    <n v="55"/>
    <n v="3190"/>
    <s v="N"/>
    <n v="3190"/>
  </r>
  <r>
    <n v="368"/>
    <d v="2024-12-24T00:00:00"/>
    <x v="8"/>
    <x v="4"/>
    <s v="West"/>
    <s v="C132"/>
    <s v="JeevanCare Medical Store"/>
    <s v="Neha Patel"/>
    <s v="Zinc Tablets"/>
    <s v="B22ZC12"/>
    <d v="2026-09-01T00:00:00"/>
    <n v="65"/>
    <n v="32"/>
    <n v="2080"/>
    <s v="Y"/>
    <n v="1976"/>
  </r>
  <r>
    <n v="369"/>
    <d v="2024-12-25T00:00:00"/>
    <x v="8"/>
    <x v="5"/>
    <s v="South"/>
    <s v="C140"/>
    <s v="Arogya Medical &amp; General"/>
    <s v="Hrishkesh Jadhv"/>
    <s v="Vitamin D3 60k"/>
    <s v="B21VD67"/>
    <d v="2026-12-01T00:00:00"/>
    <n v="28"/>
    <n v="90"/>
    <n v="2520"/>
    <s v="N"/>
    <n v="2520"/>
  </r>
  <r>
    <n v="370"/>
    <d v="2024-12-26T00:00:00"/>
    <x v="8"/>
    <x v="6"/>
    <s v="East"/>
    <s v="C150"/>
    <s v="MedEase"/>
    <s v="Siddant Patil"/>
    <s v="Antacid Tablets"/>
    <s v="B21AC11"/>
    <d v="2026-10-01T00:00:00"/>
    <n v="48"/>
    <n v="20"/>
    <n v="960"/>
    <s v="N"/>
    <n v="960"/>
  </r>
  <r>
    <n v="371"/>
    <d v="2024-12-27T00:00:00"/>
    <x v="8"/>
    <x v="7"/>
    <s v="North"/>
    <s v="C157"/>
    <s v="CityMed Pharmacy"/>
    <s v="Vikram Shah"/>
    <s v="Paracetamol 650mg"/>
    <s v="B23P656"/>
    <d v="2026-03-02T00:00:00"/>
    <n v="38"/>
    <n v="35"/>
    <n v="1330"/>
    <s v="N"/>
    <n v="1330"/>
  </r>
  <r>
    <n v="372"/>
    <d v="2024-12-28T00:00:00"/>
    <x v="8"/>
    <x v="0"/>
    <s v="West"/>
    <s v="C201"/>
    <s v="TrustCare Medicals"/>
    <s v="Pooja Sharma"/>
    <s v="Cough Syrup 100ml"/>
    <s v="B19CS07"/>
    <d v="2026-12-25T00:00:00"/>
    <n v="48"/>
    <n v="42"/>
    <n v="2016"/>
    <s v="N"/>
    <n v="2016"/>
  </r>
  <r>
    <n v="373"/>
    <d v="2024-12-29T00:00:00"/>
    <x v="8"/>
    <x v="0"/>
    <s v="South"/>
    <s v="C245"/>
    <s v="Lifeline Medicals"/>
    <s v="Harshal Singh"/>
    <s v="Vitamin  C Tablets"/>
    <s v="B22VC16"/>
    <d v="2026-04-03T00:00:00"/>
    <n v="58"/>
    <n v="22"/>
    <n v="1276"/>
    <s v="N"/>
    <n v="1276"/>
  </r>
  <r>
    <n v="374"/>
    <d v="2024-12-30T00:00:00"/>
    <x v="8"/>
    <x v="1"/>
    <s v="East"/>
    <s v="C160"/>
    <s v="CarePlus Medical Store"/>
    <s v="Riya Mishra"/>
    <s v="Amoxicillin 500mg"/>
    <s v="B21AX56"/>
    <d v="2026-06-05T00:00:00"/>
    <n v="35"/>
    <n v="48"/>
    <n v="1680"/>
    <s v="N"/>
    <n v="1680"/>
  </r>
  <r>
    <n v="375"/>
    <d v="2024-12-31T00:00:00"/>
    <x v="8"/>
    <x v="2"/>
    <s v="North"/>
    <s v="C101"/>
    <s v="Shree Medical &amp; General Store"/>
    <s v="Abhijeet Kulkarni"/>
    <s v="Hand Sanitizer 200ml"/>
    <s v="B20HS26"/>
    <d v="2026-10-02T00:00:00"/>
    <n v="22"/>
    <n v="95"/>
    <n v="2090"/>
    <s v="N"/>
    <n v="2090"/>
  </r>
  <r>
    <n v="376"/>
    <d v="2025-01-01T00:00:00"/>
    <x v="9"/>
    <x v="3"/>
    <s v="West"/>
    <s v="C132"/>
    <s v="JeevanCare Medical Store"/>
    <s v="Neha Patel"/>
    <s v="ORS Powder"/>
    <s v="B23OR07"/>
    <d v="2026-12-01T00:00:00"/>
    <n v="26"/>
    <n v="18"/>
    <n v="468"/>
    <s v="N"/>
    <n v="468"/>
  </r>
  <r>
    <n v="377"/>
    <d v="2025-01-02T00:00:00"/>
    <x v="9"/>
    <x v="4"/>
    <s v="South"/>
    <s v="C140"/>
    <s v="Arogya Medical &amp; General"/>
    <s v="Hrishkesh Jadhv"/>
    <s v="Zinc Tablets"/>
    <s v="B22ZC11"/>
    <d v="2026-09-01T00:00:00"/>
    <n v="68"/>
    <n v="75"/>
    <n v="5100"/>
    <s v="Y"/>
    <n v="4845"/>
  </r>
  <r>
    <n v="378"/>
    <d v="2025-01-03T00:00:00"/>
    <x v="9"/>
    <x v="5"/>
    <s v="East"/>
    <s v="C150"/>
    <s v="MedEase"/>
    <s v="Siddant Patil"/>
    <s v="Vitamin D3 60k"/>
    <s v="B21VD66"/>
    <d v="2025-08-01T00:00:00"/>
    <n v="45"/>
    <n v="55"/>
    <n v="2475"/>
    <s v="N"/>
    <n v="2475"/>
  </r>
  <r>
    <n v="379"/>
    <d v="2025-01-04T00:00:00"/>
    <x v="9"/>
    <x v="6"/>
    <s v="North"/>
    <s v="C157"/>
    <s v="CityMed Pharmacy"/>
    <s v="Vikram Shah"/>
    <s v="Antacid Tablets"/>
    <s v="B21AC10"/>
    <d v="2026-09-01T00:00:00"/>
    <n v="59"/>
    <n v="32"/>
    <n v="1888"/>
    <s v="N"/>
    <n v="1888"/>
  </r>
  <r>
    <n v="380"/>
    <d v="2025-01-05T00:00:00"/>
    <x v="9"/>
    <x v="7"/>
    <s v="West"/>
    <s v="C201"/>
    <s v="TrustCare Medicals"/>
    <s v="Pooja Sharma"/>
    <s v="Ciprofloxacin 500mg"/>
    <s v="B23CF56"/>
    <d v="2026-12-01T00:00:00"/>
    <n v="45"/>
    <n v="90"/>
    <n v="4050"/>
    <s v="N"/>
    <n v="4050"/>
  </r>
  <r>
    <n v="381"/>
    <d v="2025-01-06T00:00:00"/>
    <x v="9"/>
    <x v="0"/>
    <s v="North"/>
    <s v="C245"/>
    <s v="Lifeline Medicals"/>
    <s v="Harshal Singh"/>
    <s v="Antibiotic Ointment"/>
    <s v="B23AO16"/>
    <d v="2026-10-01T00:00:00"/>
    <n v="35"/>
    <n v="20"/>
    <n v="700"/>
    <s v="N"/>
    <n v="700"/>
  </r>
  <r>
    <n v="382"/>
    <d v="2025-01-07T00:00:00"/>
    <x v="9"/>
    <x v="1"/>
    <s v="West"/>
    <s v="C160"/>
    <s v="CarePlus Medical Store"/>
    <s v="Riya Mishra"/>
    <s v="Paracetamol 650mg"/>
    <s v="B23P657"/>
    <d v="2026-03-02T00:00:00"/>
    <n v="58"/>
    <n v="35"/>
    <n v="2030"/>
    <s v="N"/>
    <n v="2030"/>
  </r>
  <r>
    <n v="383"/>
    <d v="2025-01-08T00:00:00"/>
    <x v="9"/>
    <x v="2"/>
    <s v="South"/>
    <s v="C101"/>
    <s v="Shree Medical &amp; General Store"/>
    <s v="Abhijeet Kulkarni"/>
    <s v="Cough Syrup 100ml"/>
    <s v="B19CS08"/>
    <d v="2026-12-25T00:00:00"/>
    <n v="65"/>
    <n v="42"/>
    <n v="2730"/>
    <s v="Y"/>
    <n v="2593.5"/>
  </r>
  <r>
    <n v="384"/>
    <d v="2025-01-09T00:00:00"/>
    <x v="9"/>
    <x v="3"/>
    <s v="East"/>
    <s v="C132"/>
    <s v="JeevanCare Medical Store"/>
    <s v="Neha Patel"/>
    <s v="Vitamin  C Tablets"/>
    <s v="B22VC17"/>
    <d v="2026-04-03T00:00:00"/>
    <n v="28"/>
    <n v="22"/>
    <n v="616"/>
    <s v="N"/>
    <n v="616"/>
  </r>
  <r>
    <n v="385"/>
    <d v="2025-01-10T00:00:00"/>
    <x v="9"/>
    <x v="4"/>
    <s v="North"/>
    <s v="C140"/>
    <s v="Arogya Medical &amp; General"/>
    <s v="Hrishkesh Jadhv"/>
    <s v="Amoxicillin 500mg"/>
    <s v="B21AX57"/>
    <d v="2026-06-05T00:00:00"/>
    <n v="48"/>
    <n v="48"/>
    <n v="2304"/>
    <s v="N"/>
    <n v="2304"/>
  </r>
  <r>
    <n v="386"/>
    <d v="2025-01-11T00:00:00"/>
    <x v="9"/>
    <x v="5"/>
    <s v="West"/>
    <s v="C150"/>
    <s v="MedEase"/>
    <s v="Siddant Patil"/>
    <s v="Hand Sanitizer 200ml"/>
    <s v="B20HS27"/>
    <d v="2026-10-02T00:00:00"/>
    <n v="38"/>
    <n v="95"/>
    <n v="3610"/>
    <s v="N"/>
    <n v="3610"/>
  </r>
  <r>
    <n v="387"/>
    <d v="2025-01-12T00:00:00"/>
    <x v="9"/>
    <x v="6"/>
    <s v="South"/>
    <s v="C157"/>
    <s v="CityMed Pharmacy"/>
    <s v="Vikram Shah"/>
    <s v="ORS Powder"/>
    <s v="B23OR08"/>
    <d v="2026-12-01T00:00:00"/>
    <n v="48"/>
    <n v="18"/>
    <n v="864"/>
    <s v="N"/>
    <n v="864"/>
  </r>
  <r>
    <n v="388"/>
    <d v="2025-01-13T00:00:00"/>
    <x v="9"/>
    <x v="7"/>
    <s v="East"/>
    <s v="C201"/>
    <s v="TrustCare Medicals"/>
    <s v="Pooja Sharma"/>
    <s v="Zinc Tablets"/>
    <s v="B22ZC12"/>
    <d v="2026-09-01T00:00:00"/>
    <n v="58"/>
    <n v="75"/>
    <n v="4350"/>
    <s v="N"/>
    <n v="4350"/>
  </r>
  <r>
    <n v="389"/>
    <d v="2025-01-14T00:00:00"/>
    <x v="9"/>
    <x v="0"/>
    <s v="North"/>
    <s v="C245"/>
    <s v="Lifeline Medicals"/>
    <s v="Harshal Singh"/>
    <s v="Paracetamol 650mg"/>
    <s v="B23P657"/>
    <d v="2025-08-01T00:00:00"/>
    <n v="35"/>
    <n v="55"/>
    <n v="1925"/>
    <s v="N"/>
    <n v="1925"/>
  </r>
  <r>
    <n v="390"/>
    <d v="2025-01-15T00:00:00"/>
    <x v="9"/>
    <x v="0"/>
    <s v="West"/>
    <s v="C160"/>
    <s v="CarePlus Medical Store"/>
    <s v="Riya Mishra"/>
    <s v="Cough Syrup 100ml"/>
    <s v="B19CS08"/>
    <d v="2026-09-01T00:00:00"/>
    <n v="22"/>
    <n v="32"/>
    <n v="704"/>
    <s v="N"/>
    <n v="704"/>
  </r>
  <r>
    <n v="391"/>
    <d v="2025-01-16T00:00:00"/>
    <x v="9"/>
    <x v="1"/>
    <s v="South"/>
    <s v="C101"/>
    <s v="Shree Medical &amp; General Store"/>
    <s v="Abhijeet Kulkarni"/>
    <s v="Vitamin  C Tablets"/>
    <s v="B22VC17"/>
    <d v="2026-12-01T00:00:00"/>
    <n v="26"/>
    <n v="90"/>
    <n v="2340"/>
    <s v="N"/>
    <n v="2340"/>
  </r>
  <r>
    <n v="392"/>
    <d v="2025-01-17T00:00:00"/>
    <x v="9"/>
    <x v="2"/>
    <s v="East"/>
    <s v="C132"/>
    <s v="JeevanCare Medical Store"/>
    <s v="Neha Patel"/>
    <s v="Amoxicillin 500mg"/>
    <s v="B21AX57"/>
    <d v="2026-10-01T00:00:00"/>
    <n v="68"/>
    <n v="20"/>
    <n v="1360"/>
    <s v="Y"/>
    <n v="1292"/>
  </r>
  <r>
    <n v="393"/>
    <d v="2025-01-18T00:00:00"/>
    <x v="9"/>
    <x v="3"/>
    <s v="North"/>
    <s v="C140"/>
    <s v="Arogya Medical &amp; General"/>
    <s v="Hrishkesh Jadhv"/>
    <s v="Hand Sanitizer 200ml"/>
    <s v="B20HS27"/>
    <d v="2026-03-02T00:00:00"/>
    <n v="45"/>
    <n v="35"/>
    <n v="1575"/>
    <s v="N"/>
    <n v="1575"/>
  </r>
  <r>
    <n v="394"/>
    <d v="2025-01-19T00:00:00"/>
    <x v="9"/>
    <x v="4"/>
    <s v="West"/>
    <s v="C150"/>
    <s v="MedEase"/>
    <s v="Siddant Patil"/>
    <s v="ORS Powder"/>
    <s v="B23OR08"/>
    <d v="2026-12-25T00:00:00"/>
    <n v="59"/>
    <n v="42"/>
    <n v="2478"/>
    <s v="N"/>
    <n v="2478"/>
  </r>
  <r>
    <n v="395"/>
    <d v="2025-01-20T00:00:00"/>
    <x v="9"/>
    <x v="5"/>
    <s v="North"/>
    <s v="C157"/>
    <s v="CityMed Pharmacy"/>
    <s v="Vikram Shah"/>
    <s v="Zinc Tablets"/>
    <s v="B22ZC12"/>
    <d v="2026-04-03T00:00:00"/>
    <n v="45"/>
    <n v="22"/>
    <n v="990"/>
    <s v="N"/>
    <n v="990"/>
  </r>
  <r>
    <n v="396"/>
    <d v="2025-01-21T00:00:00"/>
    <x v="9"/>
    <x v="6"/>
    <s v="West"/>
    <s v="C201"/>
    <s v="TrustCare Medicals"/>
    <s v="Pooja Sharma"/>
    <s v="Vitamin D3 60k"/>
    <s v="B21VD67"/>
    <d v="2026-06-05T00:00:00"/>
    <n v="35"/>
    <n v="48"/>
    <n v="1680"/>
    <s v="N"/>
    <n v="1680"/>
  </r>
  <r>
    <n v="397"/>
    <d v="2025-01-22T00:00:00"/>
    <x v="9"/>
    <x v="7"/>
    <s v="South"/>
    <s v="C245"/>
    <s v="Lifeline Medicals"/>
    <s v="Harshal Singh"/>
    <s v="Antacid Tablets"/>
    <s v="B21AC11"/>
    <d v="2026-10-02T00:00:00"/>
    <n v="58"/>
    <n v="95"/>
    <n v="5510"/>
    <s v="N"/>
    <n v="5510"/>
  </r>
  <r>
    <n v="398"/>
    <d v="2025-01-23T00:00:00"/>
    <x v="9"/>
    <x v="0"/>
    <s v="East"/>
    <s v="C160"/>
    <s v="CarePlus Medical Store"/>
    <s v="Riya Mishra"/>
    <s v="Ciprofloxacin 500mg"/>
    <s v="B23CF57"/>
    <d v="2026-12-01T00:00:00"/>
    <n v="65"/>
    <n v="18"/>
    <n v="1170"/>
    <s v="Y"/>
    <n v="1111.5"/>
  </r>
  <r>
    <n v="399"/>
    <d v="2025-01-24T00:00:00"/>
    <x v="9"/>
    <x v="1"/>
    <s v="North"/>
    <s v="C101"/>
    <s v="Shree Medical &amp; General Store"/>
    <s v="Abhijeet Kulkarni"/>
    <s v="Antibiotic Ointment"/>
    <s v="B23AO17"/>
    <d v="2026-09-01T00:00:00"/>
    <n v="28"/>
    <n v="75"/>
    <n v="2100"/>
    <s v="N"/>
    <n v="2100"/>
  </r>
  <r>
    <n v="400"/>
    <d v="2025-01-25T00:00:00"/>
    <x v="9"/>
    <x v="2"/>
    <s v="West"/>
    <s v="C132"/>
    <s v="JeevanCare Medical Store"/>
    <s v="Neha Patel"/>
    <s v="Paracetamol 650mg"/>
    <s v="B23P658"/>
    <d v="2025-08-01T00:00:00"/>
    <n v="48"/>
    <n v="55"/>
    <n v="2640"/>
    <s v="N"/>
    <n v="2640"/>
  </r>
  <r>
    <n v="401"/>
    <d v="2025-01-26T00:00:00"/>
    <x v="9"/>
    <x v="3"/>
    <s v="South"/>
    <s v="C140"/>
    <s v="Arogya Medical &amp; General"/>
    <s v="Hrishkesh Jadhv"/>
    <s v="Cough Syrup 100ml"/>
    <s v="B19CS09"/>
    <d v="2026-09-01T00:00:00"/>
    <n v="38"/>
    <n v="32"/>
    <n v="1216"/>
    <s v="N"/>
    <n v="1216"/>
  </r>
  <r>
    <n v="402"/>
    <d v="2025-01-27T00:00:00"/>
    <x v="9"/>
    <x v="4"/>
    <s v="East"/>
    <s v="C150"/>
    <s v="MedEase"/>
    <s v="Siddant Patil"/>
    <s v="Vitamin  C Tablets"/>
    <s v="B22VC18"/>
    <d v="2026-12-01T00:00:00"/>
    <n v="48"/>
    <n v="90"/>
    <n v="4320"/>
    <s v="N"/>
    <n v="4320"/>
  </r>
  <r>
    <n v="403"/>
    <d v="2025-01-28T00:00:00"/>
    <x v="9"/>
    <x v="5"/>
    <s v="North"/>
    <s v="C157"/>
    <s v="CityMed Pharmacy"/>
    <s v="Vikram Shah"/>
    <s v="Amoxicillin 500mg"/>
    <s v="B21AX58"/>
    <d v="2026-10-01T00:00:00"/>
    <n v="58"/>
    <n v="20"/>
    <n v="1160"/>
    <s v="N"/>
    <n v="1160"/>
  </r>
  <r>
    <n v="404"/>
    <d v="2025-01-29T00:00:00"/>
    <x v="9"/>
    <x v="6"/>
    <s v="West"/>
    <s v="C201"/>
    <s v="TrustCare Medicals"/>
    <s v="Pooja Sharma"/>
    <s v="Hand Sanitizer 200ml"/>
    <s v="B20HS28"/>
    <d v="2026-03-02T00:00:00"/>
    <n v="35"/>
    <n v="35"/>
    <n v="1225"/>
    <s v="N"/>
    <n v="1225"/>
  </r>
  <r>
    <n v="405"/>
    <d v="2025-01-30T00:00:00"/>
    <x v="9"/>
    <x v="7"/>
    <s v="South"/>
    <s v="C245"/>
    <s v="Lifeline Medicals"/>
    <s v="Harshal Singh"/>
    <s v="ORS Powder"/>
    <s v="B23OR09"/>
    <d v="2026-12-25T00:00:00"/>
    <n v="22"/>
    <n v="42"/>
    <n v="924"/>
    <s v="N"/>
    <n v="924"/>
  </r>
  <r>
    <n v="406"/>
    <d v="2025-01-31T00:00:00"/>
    <x v="9"/>
    <x v="0"/>
    <s v="East"/>
    <s v="C160"/>
    <s v="CarePlus Medical Store"/>
    <s v="Riya Mishra"/>
    <s v="Zinc Tablets"/>
    <s v="B22ZC13"/>
    <d v="2026-04-03T00:00:00"/>
    <n v="26"/>
    <n v="22"/>
    <n v="572"/>
    <s v="N"/>
    <n v="572"/>
  </r>
  <r>
    <n v="407"/>
    <d v="2025-02-01T00:00:00"/>
    <x v="10"/>
    <x v="0"/>
    <s v="North"/>
    <s v="C101"/>
    <s v="Shree Medical &amp; General Store"/>
    <s v="Abhijeet Kulkarni"/>
    <s v="Paracetamol 650mg"/>
    <s v="B23P658"/>
    <d v="2026-06-05T00:00:00"/>
    <n v="68"/>
    <n v="48"/>
    <n v="3264"/>
    <s v="Y"/>
    <n v="3100.7999999999997"/>
  </r>
  <r>
    <n v="408"/>
    <d v="2025-02-02T00:00:00"/>
    <x v="10"/>
    <x v="1"/>
    <s v="West"/>
    <s v="C132"/>
    <s v="JeevanCare Medical Store"/>
    <s v="Neha Patel"/>
    <s v="Cough Syrup 100ml"/>
    <s v="B19CS09"/>
    <d v="2026-10-02T00:00:00"/>
    <n v="45"/>
    <n v="95"/>
    <n v="4275"/>
    <s v="N"/>
    <n v="4275"/>
  </r>
  <r>
    <n v="409"/>
    <d v="2025-02-03T00:00:00"/>
    <x v="10"/>
    <x v="2"/>
    <s v="South"/>
    <s v="C140"/>
    <s v="Arogya Medical &amp; General"/>
    <s v="Hrishkesh Jadhv"/>
    <s v="Vitamin  C Tablets"/>
    <s v="B22VC18"/>
    <d v="2026-12-01T00:00:00"/>
    <n v="59"/>
    <n v="18"/>
    <n v="1062"/>
    <s v="N"/>
    <n v="1062"/>
  </r>
  <r>
    <n v="410"/>
    <d v="2025-02-04T00:00:00"/>
    <x v="10"/>
    <x v="3"/>
    <s v="East"/>
    <s v="C150"/>
    <s v="MedEase"/>
    <s v="Siddant Patil"/>
    <s v="Amoxicillin 500mg"/>
    <s v="B21AX58"/>
    <d v="2026-09-01T00:00:00"/>
    <n v="45"/>
    <n v="75"/>
    <n v="3375"/>
    <s v="N"/>
    <n v="3375"/>
  </r>
  <r>
    <n v="411"/>
    <d v="2025-02-05T00:00:00"/>
    <x v="10"/>
    <x v="4"/>
    <s v="North"/>
    <s v="C157"/>
    <s v="CityMed Pharmacy"/>
    <s v="Vikram Shah"/>
    <s v="Hand Sanitizer 200ml"/>
    <s v="B20HS28"/>
    <d v="2025-08-01T00:00:00"/>
    <n v="35"/>
    <n v="55"/>
    <n v="1925"/>
    <s v="N"/>
    <n v="1925"/>
  </r>
  <r>
    <n v="412"/>
    <d v="2025-02-06T00:00:00"/>
    <x v="10"/>
    <x v="5"/>
    <s v="West"/>
    <s v="C201"/>
    <s v="TrustCare Medicals"/>
    <s v="Pooja Sharma"/>
    <s v="ORS Powder"/>
    <s v="B23OR09"/>
    <d v="2026-09-01T00:00:00"/>
    <n v="58"/>
    <n v="32"/>
    <n v="1856"/>
    <s v="N"/>
    <n v="1856"/>
  </r>
  <r>
    <n v="413"/>
    <d v="2025-02-07T00:00:00"/>
    <x v="10"/>
    <x v="6"/>
    <s v="South"/>
    <s v="C245"/>
    <s v="Lifeline Medicals"/>
    <s v="Harshal Singh"/>
    <s v="Zinc Tablets"/>
    <s v="B22ZC13"/>
    <d v="2026-12-01T00:00:00"/>
    <n v="65"/>
    <n v="90"/>
    <n v="5850"/>
    <s v="Y"/>
    <n v="5557.5"/>
  </r>
  <r>
    <n v="414"/>
    <d v="2025-02-08T00:00:00"/>
    <x v="10"/>
    <x v="7"/>
    <s v="East"/>
    <s v="C160"/>
    <s v="CarePlus Medical Store"/>
    <s v="Riya Mishra"/>
    <s v="Vitamin D3 60k"/>
    <s v="B21VD68"/>
    <d v="2026-10-01T00:00:00"/>
    <n v="28"/>
    <n v="20"/>
    <n v="560"/>
    <s v="N"/>
    <n v="560"/>
  </r>
  <r>
    <n v="415"/>
    <d v="2025-02-09T00:00:00"/>
    <x v="10"/>
    <x v="0"/>
    <s v="North"/>
    <s v="C101"/>
    <s v="Shree Medical &amp; General Store"/>
    <s v="Abhijeet Kulkarni"/>
    <s v="Antacid Tablets"/>
    <s v="B21AC12"/>
    <d v="2026-03-02T00:00:00"/>
    <n v="48"/>
    <n v="35"/>
    <n v="1680"/>
    <s v="N"/>
    <n v="1680"/>
  </r>
  <r>
    <n v="416"/>
    <d v="2025-02-10T00:00:00"/>
    <x v="10"/>
    <x v="1"/>
    <s v="West"/>
    <s v="C132"/>
    <s v="JeevanCare Medical Store"/>
    <s v="Neha Patel"/>
    <s v="Paracetamol 650mg"/>
    <s v="B23P657"/>
    <d v="2026-12-25T00:00:00"/>
    <n v="38"/>
    <n v="42"/>
    <n v="1596"/>
    <s v="N"/>
    <n v="1596"/>
  </r>
  <r>
    <n v="417"/>
    <d v="2025-02-11T00:00:00"/>
    <x v="10"/>
    <x v="2"/>
    <s v="South"/>
    <s v="C140"/>
    <s v="Arogya Medical &amp; General"/>
    <s v="Hrishkesh Jadhv"/>
    <s v="Cough Syrup 100ml"/>
    <s v="B19CS08"/>
    <d v="2026-04-03T00:00:00"/>
    <n v="48"/>
    <n v="22"/>
    <n v="1056"/>
    <s v="N"/>
    <n v="1056"/>
  </r>
  <r>
    <n v="418"/>
    <d v="2025-02-12T00:00:00"/>
    <x v="10"/>
    <x v="3"/>
    <s v="East"/>
    <s v="C150"/>
    <s v="MedEase"/>
    <s v="Siddant Patil"/>
    <s v="Vitamin  C Tablets"/>
    <s v="B22VC17"/>
    <d v="2026-06-05T00:00:00"/>
    <n v="58"/>
    <n v="48"/>
    <n v="2784"/>
    <s v="N"/>
    <n v="2784"/>
  </r>
  <r>
    <n v="419"/>
    <d v="2025-02-13T00:00:00"/>
    <x v="10"/>
    <x v="4"/>
    <s v="North"/>
    <s v="C157"/>
    <s v="CityMed Pharmacy"/>
    <s v="Vikram Shah"/>
    <s v="Amoxicillin 500mg"/>
    <s v="B21AX57"/>
    <d v="2026-10-02T00:00:00"/>
    <n v="35"/>
    <n v="95"/>
    <n v="3325"/>
    <s v="N"/>
    <n v="3325"/>
  </r>
  <r>
    <n v="420"/>
    <d v="2025-02-14T00:00:00"/>
    <x v="10"/>
    <x v="5"/>
    <s v="West"/>
    <s v="C201"/>
    <s v="TrustCare Medicals"/>
    <s v="Pooja Sharma"/>
    <s v="Hand Sanitizer 200ml"/>
    <s v="B20HS27"/>
    <d v="2026-12-01T00:00:00"/>
    <n v="22"/>
    <n v="18"/>
    <n v="396"/>
    <s v="N"/>
    <n v="396"/>
  </r>
  <r>
    <n v="421"/>
    <d v="2025-02-15T00:00:00"/>
    <x v="10"/>
    <x v="6"/>
    <s v="South"/>
    <s v="C245"/>
    <s v="Lifeline Medicals"/>
    <s v="Harshal Singh"/>
    <s v="ORS Powder"/>
    <s v="B23OR08"/>
    <d v="2026-09-01T00:00:00"/>
    <n v="26"/>
    <n v="75"/>
    <n v="1950"/>
    <s v="N"/>
    <n v="1950"/>
  </r>
  <r>
    <n v="422"/>
    <d v="2025-02-16T00:00:00"/>
    <x v="10"/>
    <x v="7"/>
    <s v="East"/>
    <s v="C160"/>
    <s v="CarePlus Medical Store"/>
    <s v="Riya Mishra"/>
    <s v="Zinc Tablets"/>
    <s v="B22ZC12"/>
    <d v="2025-08-01T00:00:00"/>
    <n v="68"/>
    <n v="55"/>
    <n v="3740"/>
    <s v="Y"/>
    <n v="3553"/>
  </r>
  <r>
    <n v="423"/>
    <d v="2025-02-17T00:00:00"/>
    <x v="10"/>
    <x v="0"/>
    <s v="North"/>
    <s v="C101"/>
    <s v="Shree Medical &amp; General Store"/>
    <s v="Abhijeet Kulkarni"/>
    <s v="Vitamin D3 60k"/>
    <s v="B21VD67"/>
    <d v="2026-09-01T00:00:00"/>
    <n v="45"/>
    <n v="32"/>
    <n v="1440"/>
    <s v="N"/>
    <n v="1440"/>
  </r>
  <r>
    <n v="424"/>
    <d v="2025-02-18T00:00:00"/>
    <x v="10"/>
    <x v="1"/>
    <s v="West"/>
    <s v="C132"/>
    <s v="JeevanCare Medical Store"/>
    <s v="Neha Patel"/>
    <s v="Antacid Tablets"/>
    <s v="B21AC11"/>
    <d v="2026-12-01T00:00:00"/>
    <n v="59"/>
    <n v="90"/>
    <n v="5310"/>
    <s v="N"/>
    <n v="5310"/>
  </r>
  <r>
    <n v="425"/>
    <d v="2025-02-19T00:00:00"/>
    <x v="10"/>
    <x v="2"/>
    <s v="South"/>
    <s v="C140"/>
    <s v="Arogya Medical &amp; General"/>
    <s v="Hrishkesh Jadhv"/>
    <s v="Ciprofloxacin 500mg"/>
    <s v="B23CF57"/>
    <d v="2026-10-01T00:00:00"/>
    <n v="45"/>
    <n v="20"/>
    <n v="900"/>
    <s v="N"/>
    <n v="900"/>
  </r>
  <r>
    <n v="426"/>
    <d v="2025-02-20T00:00:00"/>
    <x v="10"/>
    <x v="3"/>
    <s v="East"/>
    <s v="C150"/>
    <s v="MedEase"/>
    <s v="Siddant Patil"/>
    <s v="Antibiotic Ointment"/>
    <s v="B23AO17"/>
    <d v="2026-03-02T00:00:00"/>
    <n v="35"/>
    <n v="35"/>
    <n v="1225"/>
    <s v="N"/>
    <n v="1225"/>
  </r>
  <r>
    <n v="427"/>
    <d v="2025-02-21T00:00:00"/>
    <x v="10"/>
    <x v="4"/>
    <s v="North"/>
    <s v="C157"/>
    <s v="CityMed Pharmacy"/>
    <s v="Vikram Shah"/>
    <s v="Paracetamol 650mg"/>
    <s v="B23P658"/>
    <d v="2026-12-25T00:00:00"/>
    <n v="65"/>
    <n v="42"/>
    <n v="2730"/>
    <s v="Y"/>
    <n v="2593.5"/>
  </r>
  <r>
    <n v="428"/>
    <d v="2025-02-22T00:00:00"/>
    <x v="10"/>
    <x v="5"/>
    <s v="West"/>
    <s v="C201"/>
    <s v="TrustCare Medicals"/>
    <s v="Pooja Sharma"/>
    <s v="Cough Syrup 100ml"/>
    <s v="B19CS09"/>
    <d v="2026-04-03T00:00:00"/>
    <n v="35"/>
    <n v="22"/>
    <n v="770"/>
    <s v="N"/>
    <n v="770"/>
  </r>
  <r>
    <n v="429"/>
    <d v="2025-02-23T00:00:00"/>
    <x v="10"/>
    <x v="6"/>
    <s v="South"/>
    <s v="C245"/>
    <s v="Lifeline Medicals"/>
    <s v="Harshal Singh"/>
    <s v="Vitamin  C Tablets"/>
    <s v="B22VC18"/>
    <d v="2026-06-05T00:00:00"/>
    <n v="26"/>
    <n v="48"/>
    <n v="1248"/>
    <s v="N"/>
    <n v="1248"/>
  </r>
  <r>
    <n v="430"/>
    <d v="2025-02-24T00:00:00"/>
    <x v="10"/>
    <x v="7"/>
    <s v="East"/>
    <s v="C160"/>
    <s v="CarePlus Medical Store"/>
    <s v="Riya Mishra"/>
    <s v="Amoxicillin 500mg"/>
    <s v="B21AX58"/>
    <d v="2026-10-02T00:00:00"/>
    <n v="35"/>
    <n v="95"/>
    <n v="3325"/>
    <s v="N"/>
    <n v="3325"/>
  </r>
  <r>
    <n v="431"/>
    <d v="2025-02-25T00:00:00"/>
    <x v="10"/>
    <x v="0"/>
    <s v="North"/>
    <s v="C101"/>
    <s v="Shree Medical &amp; General Store"/>
    <s v="Abhijeet Kulkarni"/>
    <s v="Hand Sanitizer 200ml"/>
    <s v="B20HS28"/>
    <d v="2026-12-01T00:00:00"/>
    <n v="22"/>
    <n v="18"/>
    <n v="396"/>
    <s v="N"/>
    <n v="396"/>
  </r>
  <r>
    <n v="432"/>
    <d v="2025-02-26T00:00:00"/>
    <x v="10"/>
    <x v="1"/>
    <s v="West"/>
    <s v="C132"/>
    <s v="JeevanCare Medical Store"/>
    <s v="Neha Patel"/>
    <s v="ORS Powder"/>
    <s v="B23OR09"/>
    <d v="2026-09-01T00:00:00"/>
    <n v="25"/>
    <n v="75"/>
    <n v="1875"/>
    <s v="N"/>
    <n v="1875"/>
  </r>
  <r>
    <n v="433"/>
    <d v="2025-02-27T00:00:00"/>
    <x v="10"/>
    <x v="2"/>
    <s v="South"/>
    <s v="C140"/>
    <s v="Arogya Medical &amp; General"/>
    <s v="Hrishkesh Jadhv"/>
    <s v="Zinc Tablets"/>
    <s v="B22ZC13"/>
    <d v="2025-08-01T00:00:00"/>
    <n v="35"/>
    <n v="55"/>
    <n v="1925"/>
    <s v="N"/>
    <n v="1925"/>
  </r>
  <r>
    <n v="434"/>
    <d v="2025-02-28T00:00:00"/>
    <x v="10"/>
    <x v="3"/>
    <s v="East"/>
    <s v="C150"/>
    <s v="MedEase"/>
    <s v="Siddant Patil"/>
    <s v="Paracetamol 650mg"/>
    <s v="B23P658"/>
    <d v="2026-09-01T00:00:00"/>
    <n v="52"/>
    <n v="32"/>
    <n v="1664"/>
    <s v="N"/>
    <n v="1664"/>
  </r>
  <r>
    <n v="435"/>
    <d v="2025-03-01T00:00:00"/>
    <x v="11"/>
    <x v="4"/>
    <s v="North"/>
    <s v="C157"/>
    <s v="CityMed Pharmacy"/>
    <s v="Vikram Shah"/>
    <s v="Cough Syrup 100ml"/>
    <s v="B19CS09"/>
    <d v="2026-12-01T00:00:00"/>
    <n v="34"/>
    <n v="90"/>
    <n v="3060"/>
    <s v="N"/>
    <n v="3060"/>
  </r>
  <r>
    <n v="436"/>
    <d v="2025-03-02T00:00:00"/>
    <x v="11"/>
    <x v="5"/>
    <s v="West"/>
    <s v="C201"/>
    <s v="TrustCare Medicals"/>
    <s v="Pooja Sharma"/>
    <s v="Vitamin  C Tablets"/>
    <s v="B22VC18"/>
    <d v="2026-10-01T00:00:00"/>
    <n v="25"/>
    <n v="20"/>
    <n v="500"/>
    <s v="N"/>
    <n v="500"/>
  </r>
  <r>
    <n v="437"/>
    <d v="2025-03-03T00:00:00"/>
    <x v="11"/>
    <x v="6"/>
    <s v="South"/>
    <s v="C245"/>
    <s v="Lifeline Medicals"/>
    <s v="Harshal Singh"/>
    <s v="Amoxicillin 500mg"/>
    <s v="B21AX58"/>
    <d v="2026-03-02T00:00:00"/>
    <n v="35"/>
    <n v="35"/>
    <n v="1225"/>
    <s v="N"/>
    <n v="1225"/>
  </r>
  <r>
    <n v="438"/>
    <d v="2025-03-04T00:00:00"/>
    <x v="11"/>
    <x v="7"/>
    <s v="East"/>
    <s v="C160"/>
    <s v="CarePlus Medical Store"/>
    <s v="Riya Mishra"/>
    <s v="Hand Sanitizer 200ml"/>
    <s v="B20HS28"/>
    <d v="2026-12-25T00:00:00"/>
    <n v="20"/>
    <n v="42"/>
    <n v="840"/>
    <s v="N"/>
    <n v="840"/>
  </r>
  <r>
    <n v="439"/>
    <d v="2025-03-05T00:00:00"/>
    <x v="11"/>
    <x v="0"/>
    <s v="North"/>
    <s v="C101"/>
    <s v="Shree Medical &amp; General Store"/>
    <s v="Abhijeet Kulkarni"/>
    <s v="ORS Powder"/>
    <s v="B23OR09"/>
    <d v="2026-04-03T00:00:00"/>
    <n v="26"/>
    <n v="22"/>
    <n v="572"/>
    <s v="N"/>
    <n v="572"/>
  </r>
  <r>
    <n v="440"/>
    <d v="2025-03-06T00:00:00"/>
    <x v="11"/>
    <x v="1"/>
    <s v="West"/>
    <s v="C132"/>
    <s v="JeevanCare Medical Store"/>
    <s v="Neha Patel"/>
    <s v="Zinc Tablets"/>
    <s v="B22ZC13"/>
    <d v="2026-06-05T00:00:00"/>
    <n v="22"/>
    <n v="48"/>
    <n v="1056"/>
    <s v="N"/>
    <n v="1056"/>
  </r>
  <r>
    <n v="441"/>
    <d v="2025-03-07T00:00:00"/>
    <x v="11"/>
    <x v="2"/>
    <s v="South"/>
    <s v="C140"/>
    <s v="Arogya Medical &amp; General"/>
    <s v="Hrishkesh Jadhv"/>
    <s v="Vitamin D3 60k"/>
    <s v="B21VD68"/>
    <d v="2026-10-02T00:00:00"/>
    <n v="26"/>
    <n v="95"/>
    <n v="2470"/>
    <s v="N"/>
    <n v="2470"/>
  </r>
  <r>
    <n v="442"/>
    <d v="2025-03-08T00:00:00"/>
    <x v="11"/>
    <x v="3"/>
    <s v="North"/>
    <s v="C150"/>
    <s v="MedEase"/>
    <s v="Siddant Patil"/>
    <s v="Antacid Tablets"/>
    <s v="B21AC12"/>
    <d v="2026-12-01T00:00:00"/>
    <n v="54"/>
    <n v="18"/>
    <n v="972"/>
    <s v="N"/>
    <n v="972"/>
  </r>
  <r>
    <n v="443"/>
    <d v="2025-03-09T00:00:00"/>
    <x v="11"/>
    <x v="4"/>
    <s v="West"/>
    <s v="C157"/>
    <s v="CityMed Pharmacy"/>
    <s v="Vikram Shah"/>
    <s v="Ciprofloxacin 500mg"/>
    <s v="B23CF58"/>
    <d v="2026-09-01T00:00:00"/>
    <n v="56"/>
    <n v="75"/>
    <n v="4200"/>
    <s v="N"/>
    <n v="4200"/>
  </r>
  <r>
    <n v="444"/>
    <d v="2025-03-10T00:00:00"/>
    <x v="11"/>
    <x v="5"/>
    <s v="South"/>
    <s v="C201"/>
    <s v="TrustCare Medicals"/>
    <s v="Pooja Sharma"/>
    <s v="Antibiotic Ointment"/>
    <s v="B23AO18"/>
    <d v="2025-08-01T00:00:00"/>
    <n v="36"/>
    <n v="55"/>
    <n v="1980"/>
    <s v="N"/>
    <n v="1980"/>
  </r>
  <r>
    <n v="445"/>
    <d v="2025-03-11T00:00:00"/>
    <x v="11"/>
    <x v="6"/>
    <s v="East"/>
    <s v="C245"/>
    <s v="Lifeline Medicals"/>
    <s v="Harshal Singh"/>
    <s v="Paracetamol 650mg"/>
    <s v="B23P659"/>
    <d v="2026-09-01T00:00:00"/>
    <n v="54"/>
    <n v="32"/>
    <n v="1728"/>
    <s v="N"/>
    <n v="1728"/>
  </r>
  <r>
    <n v="446"/>
    <d v="2025-03-12T00:00:00"/>
    <x v="11"/>
    <x v="7"/>
    <s v="North"/>
    <s v="C160"/>
    <s v="CarePlus Medical Store"/>
    <s v="Riya Mishra"/>
    <s v="Cough Syrup 100ml"/>
    <s v="B19CS10"/>
    <d v="2026-12-01T00:00:00"/>
    <n v="62"/>
    <n v="90"/>
    <n v="5580"/>
    <s v="Y"/>
    <n v="5301"/>
  </r>
  <r>
    <n v="447"/>
    <d v="2025-03-13T00:00:00"/>
    <x v="11"/>
    <x v="0"/>
    <s v="West"/>
    <s v="C101"/>
    <s v="Shree Medical &amp; General Store"/>
    <s v="Abhijeet Kulkarni"/>
    <s v="Vitamin  C Tablets"/>
    <s v="B22VC19"/>
    <d v="2026-10-01T00:00:00"/>
    <n v="48"/>
    <n v="20"/>
    <n v="960"/>
    <s v="N"/>
    <n v="960"/>
  </r>
  <r>
    <n v="448"/>
    <d v="2025-03-14T00:00:00"/>
    <x v="11"/>
    <x v="1"/>
    <s v="South"/>
    <s v="C132"/>
    <s v="JeevanCare Medical Store"/>
    <s v="Neha Patel"/>
    <s v="Amoxicillin 500mg"/>
    <s v="B21AX59"/>
    <d v="2026-03-02T00:00:00"/>
    <n v="54"/>
    <n v="35"/>
    <n v="1890"/>
    <s v="N"/>
    <n v="1890"/>
  </r>
  <r>
    <n v="449"/>
    <d v="2025-03-15T00:00:00"/>
    <x v="11"/>
    <x v="2"/>
    <s v="East"/>
    <s v="C140"/>
    <s v="Arogya Medical &amp; General"/>
    <s v="Hrishkesh Jadhv"/>
    <s v="Hand Sanitizer 200ml"/>
    <s v="B20HS29"/>
    <d v="2026-12-25T00:00:00"/>
    <n v="26"/>
    <n v="42"/>
    <n v="1092"/>
    <s v="N"/>
    <n v="1092"/>
  </r>
  <r>
    <n v="450"/>
    <d v="2025-03-16T00:00:00"/>
    <x v="11"/>
    <x v="3"/>
    <s v="North"/>
    <s v="C150"/>
    <s v="MedEase"/>
    <s v="Siddant Patil"/>
    <s v="ORS Powder"/>
    <s v="B23OR10"/>
    <d v="2026-04-03T00:00:00"/>
    <n v="22"/>
    <n v="22"/>
    <n v="484"/>
    <s v="N"/>
    <n v="484"/>
  </r>
  <r>
    <n v="451"/>
    <d v="2025-03-17T00:00:00"/>
    <x v="11"/>
    <x v="4"/>
    <s v="West"/>
    <s v="C157"/>
    <s v="CityMed Pharmacy"/>
    <s v="Vikram Shah"/>
    <s v="Zinc Tablets"/>
    <s v="B22ZC14"/>
    <d v="2026-06-05T00:00:00"/>
    <n v="31"/>
    <n v="48"/>
    <n v="1488"/>
    <s v="N"/>
    <n v="1488"/>
  </r>
  <r>
    <n v="452"/>
    <d v="2025-03-18T00:00:00"/>
    <x v="11"/>
    <x v="5"/>
    <s v="South"/>
    <s v="C201"/>
    <s v="TrustCare Medicals"/>
    <s v="Pooja Sharma"/>
    <s v="Paracetamol 650mg"/>
    <s v="B23P659"/>
    <d v="2026-10-02T00:00:00"/>
    <n v="54"/>
    <n v="95"/>
    <n v="5130"/>
    <s v="N"/>
    <n v="5130"/>
  </r>
  <r>
    <n v="453"/>
    <d v="2025-03-19T00:00:00"/>
    <x v="11"/>
    <x v="6"/>
    <s v="East"/>
    <s v="C245"/>
    <s v="Lifeline Medicals"/>
    <s v="Harshal Singh"/>
    <s v="Cough Syrup 100ml"/>
    <s v="B19CS10"/>
    <d v="2026-12-01T00:00:00"/>
    <n v="52"/>
    <n v="18"/>
    <n v="936"/>
    <s v="N"/>
    <n v="936"/>
  </r>
  <r>
    <n v="454"/>
    <d v="2025-03-20T00:00:00"/>
    <x v="11"/>
    <x v="7"/>
    <s v="North"/>
    <s v="C160"/>
    <s v="CarePlus Medical Store"/>
    <s v="Riya Mishra"/>
    <s v="Vitamin  C Tablets"/>
    <s v="B22VC19"/>
    <d v="2026-09-01T00:00:00"/>
    <n v="46"/>
    <n v="75"/>
    <n v="3450"/>
    <s v="N"/>
    <n v="3450"/>
  </r>
  <r>
    <n v="455"/>
    <d v="2025-03-21T00:00:00"/>
    <x v="11"/>
    <x v="0"/>
    <s v="West"/>
    <s v="C101"/>
    <s v="Shree Medical &amp; General Store"/>
    <s v="Abhijeet Kulkarni"/>
    <s v="Amoxicillin 500mg"/>
    <s v="B21AX59"/>
    <d v="2025-08-01T00:00:00"/>
    <n v="48"/>
    <n v="55"/>
    <n v="2640"/>
    <s v="N"/>
    <n v="2640"/>
  </r>
  <r>
    <n v="456"/>
    <d v="2025-03-22T00:00:00"/>
    <x v="11"/>
    <x v="1"/>
    <s v="South"/>
    <s v="C132"/>
    <s v="JeevanCare Medical Store"/>
    <s v="Neha Patel"/>
    <s v="Hand Sanitizer 200ml"/>
    <s v="B20HS29"/>
    <d v="2026-09-01T00:00:00"/>
    <n v="25"/>
    <n v="32"/>
    <n v="800"/>
    <s v="N"/>
    <n v="800"/>
  </r>
  <r>
    <n v="457"/>
    <d v="2025-03-23T00:00:00"/>
    <x v="11"/>
    <x v="2"/>
    <s v="North"/>
    <s v="C140"/>
    <s v="Arogya Medical &amp; General"/>
    <s v="Hrishkesh Jadhv"/>
    <s v="ORS Powder"/>
    <s v="B23OR10"/>
    <d v="2026-12-01T00:00:00"/>
    <n v="32"/>
    <n v="90"/>
    <n v="2880"/>
    <s v="N"/>
    <n v="2880"/>
  </r>
  <r>
    <n v="458"/>
    <d v="2025-03-24T00:00:00"/>
    <x v="11"/>
    <x v="3"/>
    <s v="West"/>
    <s v="C150"/>
    <s v="MedEase"/>
    <s v="Siddant Patil"/>
    <s v="Zinc Tablets"/>
    <s v="B22ZC14"/>
    <d v="2026-10-01T00:00:00"/>
    <n v="42"/>
    <n v="20"/>
    <n v="840"/>
    <s v="N"/>
    <n v="840"/>
  </r>
  <r>
    <n v="459"/>
    <d v="2025-03-25T00:00:00"/>
    <x v="11"/>
    <x v="4"/>
    <s v="South"/>
    <s v="C157"/>
    <s v="CityMed Pharmacy"/>
    <s v="Vikram Shah"/>
    <s v="Vitamin D3 60k"/>
    <s v="B21VD69"/>
    <d v="2026-03-02T00:00:00"/>
    <n v="56"/>
    <n v="35"/>
    <n v="1960"/>
    <s v="N"/>
    <n v="1960"/>
  </r>
  <r>
    <n v="460"/>
    <d v="2025-03-26T00:00:00"/>
    <x v="11"/>
    <x v="5"/>
    <s v="East"/>
    <s v="C201"/>
    <s v="TrustCare Medicals"/>
    <s v="Pooja Sharma"/>
    <s v="Antacid Tablets"/>
    <s v="B21AC13"/>
    <d v="2026-12-25T00:00:00"/>
    <n v="45"/>
    <n v="42"/>
    <n v="1890"/>
    <s v="N"/>
    <n v="1890"/>
  </r>
  <r>
    <n v="461"/>
    <d v="2025-03-27T00:00:00"/>
    <x v="11"/>
    <x v="6"/>
    <s v="North"/>
    <s v="C245"/>
    <s v="Lifeline Medicals"/>
    <s v="Harshal Singh"/>
    <s v="Paracetamol 650mg"/>
    <s v="B23P658"/>
    <d v="2026-04-03T00:00:00"/>
    <n v="54"/>
    <n v="22"/>
    <n v="1188"/>
    <s v="N"/>
    <n v="1188"/>
  </r>
  <r>
    <n v="462"/>
    <d v="2025-03-28T00:00:00"/>
    <x v="11"/>
    <x v="7"/>
    <s v="West"/>
    <s v="C160"/>
    <s v="CarePlus Medical Store"/>
    <s v="Riya Mishra"/>
    <s v="Cough Syrup 100ml"/>
    <s v="B19CS09"/>
    <d v="2026-06-05T00:00:00"/>
    <n v="45"/>
    <n v="48"/>
    <n v="2160"/>
    <s v="N"/>
    <n v="2160"/>
  </r>
  <r>
    <n v="463"/>
    <d v="2025-03-29T00:00:00"/>
    <x v="11"/>
    <x v="4"/>
    <s v="South"/>
    <s v="C101"/>
    <s v="Shree Medical &amp; General Store"/>
    <s v="Abhijeet Kulkarni"/>
    <s v="Vitamin  C Tablets"/>
    <s v="B22VC18"/>
    <d v="2026-10-02T00:00:00"/>
    <n v="24"/>
    <n v="95"/>
    <n v="2280"/>
    <s v="N"/>
    <n v="2280"/>
  </r>
  <r>
    <n v="464"/>
    <d v="2025-03-30T00:00:00"/>
    <x v="11"/>
    <x v="3"/>
    <s v="East"/>
    <s v="C132"/>
    <s v="JeevanCare Medical Store"/>
    <s v="Neha Patel"/>
    <s v="Amoxicillin 500mg"/>
    <s v="B21AX58"/>
    <d v="2026-12-01T00:00:00"/>
    <n v="35"/>
    <n v="18"/>
    <n v="630"/>
    <s v="N"/>
    <n v="630"/>
  </r>
  <r>
    <s v=" "/>
    <d v="2025-03-31T00:00:00"/>
    <x v="11"/>
    <x v="6"/>
    <s v="North"/>
    <s v="C140"/>
    <s v="Arogya Medical &amp; General"/>
    <s v="Hrishkesh Jadhv"/>
    <s v="Hand Sanitizer 200ml"/>
    <s v="B20HS28"/>
    <d v="2026-09-01T00:00:00"/>
    <n v="20"/>
    <n v="75"/>
    <n v="1500"/>
    <s v="N"/>
    <n v="1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68A42-D872-44D0-8B09-2690751BDAB6}" name="PivotTable1" cacheId="9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J17" firstHeaderRow="1" firstDataRow="2" firstDataCol="1"/>
  <pivotFields count="16">
    <pivotField compact="0" outline="0" showAll="0"/>
    <pivotField compact="0" numFmtId="14" outline="0" showAll="0"/>
    <pivotField axis="axisRow" compact="0" outline="0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Col" compact="0" outline="0" showAll="0">
      <items count="9">
        <item x="2"/>
        <item x="6"/>
        <item x="4"/>
        <item x="7"/>
        <item x="1"/>
        <item x="3"/>
        <item x="0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65" outline="0" showAll="0"/>
    <pivotField compact="0" numFmtId="164" outline="0" showAll="0"/>
    <pivotField compact="0" outline="0" showAll="0"/>
    <pivotField dataField="1" compact="0" numFmtId="165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Final Price" fld="15" baseField="0" baseItem="0" numFmtId="165"/>
  </dataFields>
  <formats count="10">
    <format dxfId="37">
      <pivotArea type="all" dataOnly="0" outline="0" fieldPosition="0"/>
    </format>
    <format dxfId="38">
      <pivotArea outline="0" collapsedLevelsAreSubtotals="1" fieldPosition="0"/>
    </format>
    <format dxfId="39">
      <pivotArea type="origin" dataOnly="0" labelOnly="1" outline="0" fieldPosition="0"/>
    </format>
    <format dxfId="40">
      <pivotArea field="3" type="button" dataOnly="0" labelOnly="1" outline="0" axis="axisCol" fieldPosition="0"/>
    </format>
    <format dxfId="41">
      <pivotArea type="topRight" dataOnly="0" labelOnly="1" outline="0" fieldPosition="0"/>
    </format>
    <format dxfId="42">
      <pivotArea field="2" type="button" dataOnly="0" labelOnly="1" outline="0" axis="axisRow" fieldPosition="0"/>
    </format>
    <format dxfId="43">
      <pivotArea dataOnly="0" labelOnly="1" outline="0" fieldPosition="0">
        <references count="1">
          <reference field="2" count="0"/>
        </references>
      </pivotArea>
    </format>
    <format dxfId="44">
      <pivotArea dataOnly="0" labelOnly="1" grandRow="1" outline="0" fieldPosition="0"/>
    </format>
    <format dxfId="45">
      <pivotArea dataOnly="0" labelOnly="1" outline="0" fieldPosition="0">
        <references count="1">
          <reference field="3" count="0"/>
        </references>
      </pivotArea>
    </format>
    <format dxfId="46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682BB2-847F-4C32-9E3F-B08789D41669}" name="Table1" displayName="Table1" ref="A3:P369" totalsRowCount="1" headerRowDxfId="36" dataDxfId="35" headerRowBorderDxfId="33" tableBorderDxfId="34" totalsRowBorderDxfId="32">
  <autoFilter ref="A3:P368" xr:uid="{17682BB2-847F-4C32-9E3F-B08789D41669}"/>
  <tableColumns count="16">
    <tableColumn id="1" xr3:uid="{FC6DB09C-01C8-4CF4-B177-AAD98C4528C8}" name="Invoice No" totalsRowLabel="TOTAL" dataDxfId="30" totalsRowDxfId="31"/>
    <tableColumn id="2" xr3:uid="{3CA728F8-002C-41B0-9174-30C2C13C9B49}" name="Date" dataDxfId="28" totalsRowDxfId="29"/>
    <tableColumn id="3" xr3:uid="{B70D9DEE-4C85-4015-B193-464526FC85C5}" name="Month" dataDxfId="26" totalsRowDxfId="27">
      <calculatedColumnFormula>TEXT(B4,"mmm")</calculatedColumnFormula>
    </tableColumn>
    <tableColumn id="4" xr3:uid="{574717B6-4C7A-4E5C-A1FE-B78ECD0CB50F}" name="Sales Rep" dataDxfId="24" totalsRowDxfId="25"/>
    <tableColumn id="5" xr3:uid="{E19F06B3-5DDB-4C33-A8B2-AFFDFD974D93}" name="Region" dataDxfId="22" totalsRowDxfId="23"/>
    <tableColumn id="6" xr3:uid="{C795DAFA-760F-489E-B803-8FD3469942D3}" name="Customer ID" dataDxfId="20" totalsRowDxfId="21"/>
    <tableColumn id="15" xr3:uid="{481D4F1C-EE88-45D7-829D-14424CB00D9C}" name="Company Name" dataDxfId="18" totalsRowDxfId="19">
      <calculatedColumnFormula>VLOOKUP(F4,'CUSTOMER INFO'!B3:D10,2,FALSE)</calculatedColumnFormula>
    </tableColumn>
    <tableColumn id="16" xr3:uid="{4DD5230B-CC67-4000-96A0-AB39E9178E4D}" name="Company Representative Name" dataDxfId="16" totalsRowDxfId="17">
      <calculatedColumnFormula>VLOOKUP(F4,'CUSTOMER INFO'!B3:D10,3,FALSE)</calculatedColumnFormula>
    </tableColumn>
    <tableColumn id="7" xr3:uid="{0EA0111B-995C-40F9-8CD0-0025D488A640}" name="Products" dataDxfId="14" totalsRowDxfId="15"/>
    <tableColumn id="8" xr3:uid="{7AACE515-7C73-4F3A-895D-AFE5EE7859AD}" name="Batch No" dataDxfId="12" totalsRowDxfId="13"/>
    <tableColumn id="9" xr3:uid="{B9861821-E4F6-4FC8-91B3-CE2B74C82195}" name="Expiry" dataDxfId="10" totalsRowDxfId="11"/>
    <tableColumn id="10" xr3:uid="{D0A3D111-9682-4BB2-93D0-0434E1C854F8}" name="Qty" totalsRowFunction="custom" dataDxfId="8" totalsRowDxfId="9">
      <totalsRowFormula>SUM(Table1[Qty])</totalsRowFormula>
    </tableColumn>
    <tableColumn id="11" xr3:uid="{04CF18C2-FE35-46AA-9F40-0A32E250249C}" name="Price/Unit" dataDxfId="6" totalsRowDxfId="7"/>
    <tableColumn id="12" xr3:uid="{D8351525-2A91-4EDC-ADB3-97826D13BAEA}" name="Total" totalsRowFunction="custom" dataDxfId="4" totalsRowDxfId="5">
      <calculatedColumnFormula>L4*M4</calculatedColumnFormula>
      <totalsRowFormula>SUM(Table1[Total])</totalsRowFormula>
    </tableColumn>
    <tableColumn id="13" xr3:uid="{67E66563-8409-4A7D-8B64-04D252CF6A59}" name="Discount" dataDxfId="2" totalsRowDxfId="3">
      <calculatedColumnFormula>IF(L4&gt;=60,"Y","N")</calculatedColumnFormula>
    </tableColumn>
    <tableColumn id="14" xr3:uid="{5A7D9091-112A-4417-B4EA-81B30A55C152}" name="Final Price" totalsRowFunction="custom" dataDxfId="0" totalsRowDxfId="1">
      <calculatedColumnFormula>IF(L4&gt;=60,0.95*N4,N4)</calculatedColumnFormula>
      <totalsRowFormula>SUM(Table1[Final Price])</totalsRow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rutujashankpa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E944-606D-4F1E-9782-34287C7A7FB3}">
  <dimension ref="A3:J17"/>
  <sheetViews>
    <sheetView workbookViewId="0">
      <selection activeCell="E11" sqref="E11"/>
    </sheetView>
  </sheetViews>
  <sheetFormatPr defaultRowHeight="15"/>
  <cols>
    <col min="1" max="1" width="16.7109375" style="34" bestFit="1" customWidth="1"/>
    <col min="2" max="2" width="12.7109375" style="34" bestFit="1" customWidth="1"/>
    <col min="3" max="3" width="11.140625" style="34" bestFit="1" customWidth="1"/>
    <col min="4" max="4" width="12.7109375" style="34" bestFit="1" customWidth="1"/>
    <col min="5" max="5" width="13.85546875" style="34" bestFit="1" customWidth="1"/>
    <col min="6" max="6" width="11.140625" style="34" bestFit="1" customWidth="1"/>
    <col min="7" max="7" width="11.28515625" style="34" bestFit="1" customWidth="1"/>
    <col min="8" max="8" width="12.28515625" style="34" bestFit="1" customWidth="1"/>
    <col min="9" max="9" width="11.140625" style="34" bestFit="1" customWidth="1"/>
    <col min="10" max="10" width="12.28515625" style="34" bestFit="1" customWidth="1"/>
    <col min="11" max="16384" width="9.140625" style="34"/>
  </cols>
  <sheetData>
    <row r="3" spans="1:10">
      <c r="A3" s="33" t="s">
        <v>0</v>
      </c>
      <c r="B3" s="33" t="s">
        <v>1</v>
      </c>
    </row>
    <row r="4" spans="1:10">
      <c r="A4" s="33" t="s">
        <v>2</v>
      </c>
      <c r="B4" s="34" t="s">
        <v>3</v>
      </c>
      <c r="C4" s="34" t="s">
        <v>4</v>
      </c>
      <c r="D4" s="34" t="s">
        <v>5</v>
      </c>
      <c r="E4" s="34" t="s">
        <v>6</v>
      </c>
      <c r="F4" s="34" t="s">
        <v>7</v>
      </c>
      <c r="G4" s="34" t="s">
        <v>8</v>
      </c>
      <c r="H4" s="34" t="s">
        <v>9</v>
      </c>
      <c r="I4" s="34" t="s">
        <v>10</v>
      </c>
      <c r="J4" s="34" t="s">
        <v>11</v>
      </c>
    </row>
    <row r="5" spans="1:10">
      <c r="A5" s="34" t="s">
        <v>12</v>
      </c>
      <c r="B5" s="35">
        <v>6525.5</v>
      </c>
      <c r="C5" s="35">
        <v>5657</v>
      </c>
      <c r="D5" s="35">
        <v>13947</v>
      </c>
      <c r="E5" s="35">
        <v>14834</v>
      </c>
      <c r="F5" s="35">
        <v>6470</v>
      </c>
      <c r="G5" s="35">
        <v>3875</v>
      </c>
      <c r="H5" s="35">
        <v>5012.5</v>
      </c>
      <c r="I5" s="35">
        <v>8235</v>
      </c>
      <c r="J5" s="35">
        <v>64556</v>
      </c>
    </row>
    <row r="6" spans="1:10">
      <c r="A6" s="34" t="s">
        <v>13</v>
      </c>
      <c r="B6" s="35">
        <v>4943</v>
      </c>
      <c r="C6" s="35">
        <v>8755.5</v>
      </c>
      <c r="D6" s="35">
        <v>7843.5</v>
      </c>
      <c r="E6" s="35">
        <v>7438</v>
      </c>
      <c r="F6" s="35">
        <v>13056</v>
      </c>
      <c r="G6" s="35">
        <v>9048</v>
      </c>
      <c r="H6" s="35">
        <v>6616.7999999999993</v>
      </c>
      <c r="I6" s="35">
        <v>3022</v>
      </c>
      <c r="J6" s="35">
        <v>60722.8</v>
      </c>
    </row>
    <row r="7" spans="1:10">
      <c r="A7" s="34" t="s">
        <v>14</v>
      </c>
      <c r="B7" s="35">
        <v>6442</v>
      </c>
      <c r="C7" s="35">
        <v>6577</v>
      </c>
      <c r="D7" s="35">
        <v>12988</v>
      </c>
      <c r="E7" s="35">
        <v>11751</v>
      </c>
      <c r="F7" s="35">
        <v>3746</v>
      </c>
      <c r="G7" s="35">
        <v>2926</v>
      </c>
      <c r="H7" s="35">
        <v>4172</v>
      </c>
      <c r="I7" s="35">
        <v>9500</v>
      </c>
      <c r="J7" s="35">
        <v>58102</v>
      </c>
    </row>
    <row r="8" spans="1:10">
      <c r="A8" s="34" t="s">
        <v>15</v>
      </c>
      <c r="B8" s="35">
        <v>9030</v>
      </c>
      <c r="C8" s="35">
        <v>5228</v>
      </c>
      <c r="D8" s="35">
        <v>17053.5</v>
      </c>
      <c r="E8" s="35">
        <v>7975</v>
      </c>
      <c r="F8" s="35">
        <v>9817.5</v>
      </c>
      <c r="G8" s="35">
        <v>5662</v>
      </c>
      <c r="H8" s="35">
        <v>5015</v>
      </c>
      <c r="I8" s="35">
        <v>3450</v>
      </c>
      <c r="J8" s="35">
        <v>63231</v>
      </c>
    </row>
    <row r="9" spans="1:10">
      <c r="A9" s="34" t="s">
        <v>16</v>
      </c>
      <c r="B9" s="35">
        <v>4016</v>
      </c>
      <c r="C9" s="35">
        <v>6316</v>
      </c>
      <c r="D9" s="35">
        <v>4050</v>
      </c>
      <c r="E9" s="35">
        <v>7629.8</v>
      </c>
      <c r="F9" s="35">
        <v>9943.5</v>
      </c>
      <c r="G9" s="35">
        <v>11786.25</v>
      </c>
      <c r="H9" s="35">
        <v>11613.25</v>
      </c>
      <c r="I9" s="35">
        <v>7233</v>
      </c>
      <c r="J9" s="35">
        <v>62587.8</v>
      </c>
    </row>
    <row r="10" spans="1:10">
      <c r="A10" s="34" t="s">
        <v>17</v>
      </c>
      <c r="B10" s="35">
        <v>7895</v>
      </c>
      <c r="C10" s="35">
        <v>5394</v>
      </c>
      <c r="D10" s="35">
        <v>4936</v>
      </c>
      <c r="E10" s="35">
        <v>4693</v>
      </c>
      <c r="F10" s="35">
        <v>4092</v>
      </c>
      <c r="G10" s="35">
        <v>5953.2</v>
      </c>
      <c r="H10" s="35">
        <v>12975</v>
      </c>
      <c r="I10" s="35">
        <v>10070.049999999999</v>
      </c>
      <c r="J10" s="35">
        <v>56008.25</v>
      </c>
    </row>
    <row r="11" spans="1:10">
      <c r="A11" s="34" t="s">
        <v>18</v>
      </c>
      <c r="B11" s="35">
        <v>6070</v>
      </c>
      <c r="C11" s="35">
        <v>4771</v>
      </c>
      <c r="D11" s="35">
        <v>8658</v>
      </c>
      <c r="E11" s="35">
        <v>10984</v>
      </c>
      <c r="F11" s="35">
        <v>14492.25</v>
      </c>
      <c r="G11" s="35">
        <v>3897.25</v>
      </c>
      <c r="H11" s="35">
        <v>6644.8</v>
      </c>
      <c r="I11" s="35">
        <v>5013</v>
      </c>
      <c r="J11" s="35">
        <v>60530.3</v>
      </c>
    </row>
    <row r="12" spans="1:10">
      <c r="A12" s="34" t="s">
        <v>19</v>
      </c>
      <c r="B12" s="35">
        <v>2985</v>
      </c>
      <c r="C12" s="35">
        <v>15561</v>
      </c>
      <c r="D12" s="35">
        <v>6714</v>
      </c>
      <c r="E12" s="35">
        <v>4006</v>
      </c>
      <c r="F12" s="35">
        <v>3925</v>
      </c>
      <c r="G12" s="35">
        <v>8700</v>
      </c>
      <c r="H12" s="35">
        <v>14153</v>
      </c>
      <c r="I12" s="35">
        <v>3980</v>
      </c>
      <c r="J12" s="35">
        <v>60024</v>
      </c>
    </row>
    <row r="13" spans="1:10">
      <c r="A13" s="34" t="s">
        <v>20</v>
      </c>
      <c r="B13" s="35">
        <v>9504</v>
      </c>
      <c r="C13" s="35">
        <v>5134</v>
      </c>
      <c r="D13" s="35">
        <v>6602</v>
      </c>
      <c r="E13" s="35">
        <v>6626.25</v>
      </c>
      <c r="F13" s="35">
        <v>5785.5</v>
      </c>
      <c r="G13" s="35">
        <v>8358</v>
      </c>
      <c r="H13" s="35">
        <v>8851</v>
      </c>
      <c r="I13" s="35">
        <v>10075</v>
      </c>
      <c r="J13" s="35">
        <v>60935.75</v>
      </c>
    </row>
    <row r="14" spans="1:10">
      <c r="A14" s="34" t="s">
        <v>21</v>
      </c>
      <c r="B14" s="35">
        <v>9261</v>
      </c>
      <c r="C14" s="35">
        <v>6381.2</v>
      </c>
      <c r="D14" s="35">
        <v>9530</v>
      </c>
      <c r="E14" s="35">
        <v>9954</v>
      </c>
      <c r="F14" s="35">
        <v>11349</v>
      </c>
      <c r="G14" s="35">
        <v>4714</v>
      </c>
      <c r="H14" s="35">
        <v>12394</v>
      </c>
      <c r="I14" s="35">
        <v>4999</v>
      </c>
      <c r="J14" s="35">
        <v>68582.2</v>
      </c>
    </row>
    <row r="15" spans="1:10">
      <c r="A15" s="34" t="s">
        <v>22</v>
      </c>
      <c r="B15" s="35">
        <v>4322.8</v>
      </c>
      <c r="C15" s="35">
        <v>8418</v>
      </c>
      <c r="D15" s="35">
        <v>7762.2</v>
      </c>
      <c r="E15" s="35">
        <v>6205</v>
      </c>
      <c r="F15" s="35">
        <v>6922.25</v>
      </c>
      <c r="G15" s="35">
        <v>13165</v>
      </c>
      <c r="H15" s="35">
        <v>9373.25</v>
      </c>
      <c r="I15" s="35">
        <v>6735</v>
      </c>
      <c r="J15" s="35">
        <v>62903.5</v>
      </c>
    </row>
    <row r="16" spans="1:10">
      <c r="A16" s="34" t="s">
        <v>23</v>
      </c>
      <c r="B16" s="35">
        <v>12000</v>
      </c>
      <c r="C16" s="35">
        <v>9457.4500000000007</v>
      </c>
      <c r="D16" s="35">
        <v>3516</v>
      </c>
      <c r="E16" s="35">
        <v>4826</v>
      </c>
      <c r="F16" s="35">
        <v>4926</v>
      </c>
      <c r="G16" s="35">
        <v>5780</v>
      </c>
      <c r="H16" s="35">
        <v>20401</v>
      </c>
      <c r="I16" s="35">
        <v>6396</v>
      </c>
      <c r="J16" s="35">
        <v>67302.45</v>
      </c>
    </row>
    <row r="17" spans="1:10">
      <c r="A17" s="34" t="s">
        <v>11</v>
      </c>
      <c r="B17" s="35">
        <v>82994.3</v>
      </c>
      <c r="C17" s="35">
        <v>87650.15</v>
      </c>
      <c r="D17" s="35">
        <v>103600.2</v>
      </c>
      <c r="E17" s="35">
        <v>96922.05</v>
      </c>
      <c r="F17" s="35">
        <v>94525</v>
      </c>
      <c r="G17" s="35">
        <v>83864.7</v>
      </c>
      <c r="H17" s="35">
        <v>117221.6</v>
      </c>
      <c r="I17" s="35">
        <v>78708.05</v>
      </c>
      <c r="J17" s="35">
        <v>745486.04999999981</v>
      </c>
    </row>
  </sheetData>
  <sheetProtection algorithmName="SHA-512" hashValue="33S6FvXcwPzJqan2yPsrtAsht4/si1B5tL9ofDAXNC0We59Z7iBRY5Ttyjt6q5Qyby/K0K/bvES58crI4ImoMQ==" saltValue="mLbzby6BghKoE4hkznPqu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2"/>
  <sheetViews>
    <sheetView topLeftCell="A3" workbookViewId="0">
      <selection activeCell="H8" sqref="H8"/>
    </sheetView>
  </sheetViews>
  <sheetFormatPr defaultRowHeight="15"/>
  <cols>
    <col min="1" max="1" width="12.42578125" customWidth="1"/>
    <col min="2" max="2" width="10.85546875" customWidth="1"/>
    <col min="4" max="4" width="13.28515625" bestFit="1" customWidth="1"/>
    <col min="6" max="6" width="14.28515625" bestFit="1" customWidth="1"/>
    <col min="7" max="7" width="25.7109375" customWidth="1"/>
    <col min="8" max="8" width="30.42578125" customWidth="1"/>
    <col min="9" max="9" width="19.140625" bestFit="1" customWidth="1"/>
    <col min="10" max="11" width="11.140625" bestFit="1" customWidth="1"/>
    <col min="13" max="13" width="12.140625" style="12" bestFit="1" customWidth="1"/>
    <col min="14" max="14" width="13.28515625" style="9" customWidth="1"/>
    <col min="15" max="15" width="12.42578125" style="2" customWidth="1"/>
    <col min="16" max="16" width="12.42578125" style="12" bestFit="1" customWidth="1"/>
  </cols>
  <sheetData>
    <row r="1" spans="1:16" ht="21">
      <c r="A1" s="42" t="s">
        <v>24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3" spans="1:16" ht="24" customHeight="1">
      <c r="A3" s="3" t="s">
        <v>25</v>
      </c>
      <c r="B3" s="4" t="s">
        <v>26</v>
      </c>
      <c r="C3" s="4" t="s">
        <v>2</v>
      </c>
      <c r="D3" s="4" t="s">
        <v>1</v>
      </c>
      <c r="E3" s="4" t="s">
        <v>27</v>
      </c>
      <c r="F3" s="4" t="s">
        <v>28</v>
      </c>
      <c r="G3" s="17" t="s">
        <v>29</v>
      </c>
      <c r="H3" s="17" t="s">
        <v>30</v>
      </c>
      <c r="I3" s="4" t="s">
        <v>31</v>
      </c>
      <c r="J3" s="4" t="s">
        <v>32</v>
      </c>
      <c r="K3" s="4" t="s">
        <v>33</v>
      </c>
      <c r="L3" s="4" t="s">
        <v>34</v>
      </c>
      <c r="M3" s="14" t="s">
        <v>35</v>
      </c>
      <c r="N3" s="10" t="s">
        <v>36</v>
      </c>
      <c r="O3" s="8" t="s">
        <v>37</v>
      </c>
      <c r="P3" s="13" t="s">
        <v>38</v>
      </c>
    </row>
    <row r="4" spans="1:16">
      <c r="A4" s="18">
        <v>101</v>
      </c>
      <c r="B4" s="19">
        <v>45384</v>
      </c>
      <c r="C4" s="20" t="str">
        <f>TEXT(B4,"mmm")</f>
        <v>Apr</v>
      </c>
      <c r="D4" s="20" t="s">
        <v>9</v>
      </c>
      <c r="E4" s="20" t="s">
        <v>39</v>
      </c>
      <c r="F4" s="20" t="s">
        <v>40</v>
      </c>
      <c r="G4" s="20" t="str">
        <f>VLOOKUP(F4,'CUSTOMER INFO'!B3:D10,2,FALSE)</f>
        <v>Shree Medical &amp; General Store</v>
      </c>
      <c r="H4" s="20" t="str">
        <f>VLOOKUP(F4,'CUSTOMER INFO'!B3:D10,3,FALSE)</f>
        <v>Abhijeet Kulkarni</v>
      </c>
      <c r="I4" s="20" t="s">
        <v>41</v>
      </c>
      <c r="J4" s="20" t="s">
        <v>42</v>
      </c>
      <c r="K4" s="19">
        <v>46357</v>
      </c>
      <c r="L4" s="20">
        <v>50</v>
      </c>
      <c r="M4" s="21">
        <v>18</v>
      </c>
      <c r="N4" s="22">
        <f>L4*M4</f>
        <v>900</v>
      </c>
      <c r="O4" s="23" t="str">
        <f t="shared" ref="O4:O67" si="0">IF(L4&gt;=60,"Y","N")</f>
        <v>N</v>
      </c>
      <c r="P4" s="21">
        <f t="shared" ref="P4:P67" si="1">IF(L4&gt;=60,0.95*N4,N4)</f>
        <v>900</v>
      </c>
    </row>
    <row r="5" spans="1:16">
      <c r="A5" s="18">
        <v>102</v>
      </c>
      <c r="B5" s="19">
        <v>45384</v>
      </c>
      <c r="C5" s="20" t="str">
        <f t="shared" ref="C5:C68" si="2">TEXT(B5,"mmm")</f>
        <v>Apr</v>
      </c>
      <c r="D5" s="20" t="s">
        <v>7</v>
      </c>
      <c r="E5" s="20" t="s">
        <v>43</v>
      </c>
      <c r="F5" s="20" t="s">
        <v>44</v>
      </c>
      <c r="G5" s="20" t="str">
        <f>VLOOKUP(F5,'CUSTOMER INFO'!B4:D11,2,FALSE)</f>
        <v>JeevanCare Medical Store</v>
      </c>
      <c r="H5" s="20" t="str">
        <f>VLOOKUP(F5,'CUSTOMER INFO'!B4:D11,3,FALSE)</f>
        <v>Neha Patel</v>
      </c>
      <c r="I5" s="20" t="s">
        <v>45</v>
      </c>
      <c r="J5" s="20" t="s">
        <v>46</v>
      </c>
      <c r="K5" s="19">
        <v>46235</v>
      </c>
      <c r="L5" s="20">
        <v>30</v>
      </c>
      <c r="M5" s="21">
        <v>75</v>
      </c>
      <c r="N5" s="22">
        <f t="shared" ref="N5:N68" si="3">L5*M5</f>
        <v>2250</v>
      </c>
      <c r="O5" s="24" t="str">
        <f t="shared" si="0"/>
        <v>N</v>
      </c>
      <c r="P5" s="21">
        <f t="shared" si="1"/>
        <v>2250</v>
      </c>
    </row>
    <row r="6" spans="1:16">
      <c r="A6" s="18">
        <v>103</v>
      </c>
      <c r="B6" s="19">
        <v>45385</v>
      </c>
      <c r="C6" s="20" t="str">
        <f t="shared" si="2"/>
        <v>Apr</v>
      </c>
      <c r="D6" s="20" t="s">
        <v>3</v>
      </c>
      <c r="E6" s="20" t="s">
        <v>47</v>
      </c>
      <c r="F6" s="20" t="s">
        <v>48</v>
      </c>
      <c r="G6" s="20" t="str">
        <f>VLOOKUP(F6,'CUSTOMER INFO'!B5:D12,2,FALSE)</f>
        <v>Arogya Medical &amp; General</v>
      </c>
      <c r="H6" s="20" t="str">
        <f>VLOOKUP(F6,'CUSTOMER INFO'!B5:D12,3,FALSE)</f>
        <v>Hrishkesh Jadhv</v>
      </c>
      <c r="I6" s="20" t="s">
        <v>49</v>
      </c>
      <c r="J6" s="20" t="s">
        <v>50</v>
      </c>
      <c r="K6" s="19">
        <v>45870</v>
      </c>
      <c r="L6" s="20">
        <v>40</v>
      </c>
      <c r="M6" s="21">
        <v>55</v>
      </c>
      <c r="N6" s="22">
        <f t="shared" si="3"/>
        <v>2200</v>
      </c>
      <c r="O6" s="24" t="str">
        <f t="shared" si="0"/>
        <v>N</v>
      </c>
      <c r="P6" s="21">
        <f t="shared" si="1"/>
        <v>2200</v>
      </c>
    </row>
    <row r="7" spans="1:16">
      <c r="A7" s="18">
        <v>104</v>
      </c>
      <c r="B7" s="19">
        <v>45386</v>
      </c>
      <c r="C7" s="20" t="str">
        <f t="shared" si="2"/>
        <v>Apr</v>
      </c>
      <c r="D7" s="20" t="s">
        <v>8</v>
      </c>
      <c r="E7" s="20" t="s">
        <v>51</v>
      </c>
      <c r="F7" s="20" t="s">
        <v>52</v>
      </c>
      <c r="G7" s="20" t="str">
        <f>VLOOKUP(F7,'CUSTOMER INFO'!B6:D13,2,FALSE)</f>
        <v>MedEase</v>
      </c>
      <c r="H7" s="20" t="str">
        <f>VLOOKUP(F7,'CUSTOMER INFO'!B6:D13,3,FALSE)</f>
        <v>Siddant Patil</v>
      </c>
      <c r="I7" s="20" t="s">
        <v>53</v>
      </c>
      <c r="J7" s="20" t="s">
        <v>54</v>
      </c>
      <c r="K7" s="19">
        <v>46266</v>
      </c>
      <c r="L7" s="20">
        <v>35</v>
      </c>
      <c r="M7" s="21">
        <v>32</v>
      </c>
      <c r="N7" s="22">
        <f t="shared" si="3"/>
        <v>1120</v>
      </c>
      <c r="O7" s="24" t="str">
        <f t="shared" si="0"/>
        <v>N</v>
      </c>
      <c r="P7" s="21">
        <f t="shared" si="1"/>
        <v>1120</v>
      </c>
    </row>
    <row r="8" spans="1:16">
      <c r="A8" s="18">
        <v>105</v>
      </c>
      <c r="B8" s="19">
        <v>45387</v>
      </c>
      <c r="C8" s="20" t="str">
        <f t="shared" si="2"/>
        <v>Apr</v>
      </c>
      <c r="D8" s="20" t="s">
        <v>5</v>
      </c>
      <c r="E8" s="20" t="s">
        <v>39</v>
      </c>
      <c r="F8" s="20" t="s">
        <v>55</v>
      </c>
      <c r="G8" s="20" t="str">
        <f>VLOOKUP(F8,'CUSTOMER INFO'!B7:D14,2,FALSE)</f>
        <v>CityMed Pharmacy</v>
      </c>
      <c r="H8" s="20" t="str">
        <f>VLOOKUP(F8,'CUSTOMER INFO'!B7:D14,3,FALSE)</f>
        <v>Vikram Shah</v>
      </c>
      <c r="I8" s="20" t="s">
        <v>56</v>
      </c>
      <c r="J8" s="20" t="s">
        <v>57</v>
      </c>
      <c r="K8" s="19">
        <v>46357</v>
      </c>
      <c r="L8" s="20">
        <v>60</v>
      </c>
      <c r="M8" s="21">
        <v>90</v>
      </c>
      <c r="N8" s="22">
        <f t="shared" si="3"/>
        <v>5400</v>
      </c>
      <c r="O8" s="24" t="str">
        <f t="shared" si="0"/>
        <v>Y</v>
      </c>
      <c r="P8" s="21">
        <f t="shared" si="1"/>
        <v>5130</v>
      </c>
    </row>
    <row r="9" spans="1:16">
      <c r="A9" s="18">
        <v>106</v>
      </c>
      <c r="B9" s="19">
        <v>45388</v>
      </c>
      <c r="C9" s="20" t="str">
        <f t="shared" si="2"/>
        <v>Apr</v>
      </c>
      <c r="D9" s="20" t="s">
        <v>10</v>
      </c>
      <c r="E9" s="20" t="s">
        <v>43</v>
      </c>
      <c r="F9" s="20" t="s">
        <v>58</v>
      </c>
      <c r="G9" s="20" t="str">
        <f>VLOOKUP(F9,'CUSTOMER INFO'!B8:D15,2,FALSE)</f>
        <v>TrustCare Medicals</v>
      </c>
      <c r="H9" s="20" t="str">
        <f>VLOOKUP(F9,'CUSTOMER INFO'!B8:D15,3,FALSE)</f>
        <v>Pooja Sharma</v>
      </c>
      <c r="I9" s="20" t="s">
        <v>59</v>
      </c>
      <c r="J9" s="20" t="s">
        <v>60</v>
      </c>
      <c r="K9" s="19">
        <v>46296</v>
      </c>
      <c r="L9" s="20">
        <v>55</v>
      </c>
      <c r="M9" s="21">
        <v>20</v>
      </c>
      <c r="N9" s="22">
        <f t="shared" si="3"/>
        <v>1100</v>
      </c>
      <c r="O9" s="24" t="str">
        <f t="shared" si="0"/>
        <v>N</v>
      </c>
      <c r="P9" s="21">
        <f t="shared" si="1"/>
        <v>1100</v>
      </c>
    </row>
    <row r="10" spans="1:16">
      <c r="A10" s="18">
        <v>107</v>
      </c>
      <c r="B10" s="19">
        <v>45389</v>
      </c>
      <c r="C10" s="20" t="str">
        <f t="shared" si="2"/>
        <v>Apr</v>
      </c>
      <c r="D10" s="20" t="s">
        <v>4</v>
      </c>
      <c r="E10" s="20" t="s">
        <v>47</v>
      </c>
      <c r="F10" s="20" t="s">
        <v>61</v>
      </c>
      <c r="G10" s="20" t="str">
        <f>VLOOKUP(F10,'CUSTOMER INFO'!B9:D16,2,FALSE)</f>
        <v>Lifeline Medicals</v>
      </c>
      <c r="H10" s="20" t="str">
        <f>VLOOKUP(F10,'CUSTOMER INFO'!B9:D16,3,FALSE)</f>
        <v>Harshal Singh</v>
      </c>
      <c r="I10" s="20" t="s">
        <v>62</v>
      </c>
      <c r="J10" s="20" t="s">
        <v>63</v>
      </c>
      <c r="K10" s="19">
        <v>46083</v>
      </c>
      <c r="L10" s="20">
        <v>25</v>
      </c>
      <c r="M10" s="21">
        <v>35</v>
      </c>
      <c r="N10" s="22">
        <f t="shared" si="3"/>
        <v>875</v>
      </c>
      <c r="O10" s="24" t="str">
        <f t="shared" si="0"/>
        <v>N</v>
      </c>
      <c r="P10" s="21">
        <f t="shared" si="1"/>
        <v>875</v>
      </c>
    </row>
    <row r="11" spans="1:16">
      <c r="A11" s="18">
        <v>108</v>
      </c>
      <c r="B11" s="19">
        <v>45390</v>
      </c>
      <c r="C11" s="20" t="str">
        <f t="shared" si="2"/>
        <v>Apr</v>
      </c>
      <c r="D11" s="20" t="s">
        <v>6</v>
      </c>
      <c r="E11" s="20" t="s">
        <v>51</v>
      </c>
      <c r="F11" s="20" t="s">
        <v>64</v>
      </c>
      <c r="G11" s="20" t="str">
        <f>VLOOKUP(F11,'CUSTOMER INFO'!B10:D17,2,FALSE)</f>
        <v>CarePlus Medical Store</v>
      </c>
      <c r="H11" s="20" t="str">
        <f>VLOOKUP(F11,'CUSTOMER INFO'!B10:D17,3,FALSE)</f>
        <v>Riya Mishra</v>
      </c>
      <c r="I11" s="20" t="s">
        <v>65</v>
      </c>
      <c r="J11" s="20" t="s">
        <v>66</v>
      </c>
      <c r="K11" s="19">
        <v>46381</v>
      </c>
      <c r="L11" s="20">
        <v>35</v>
      </c>
      <c r="M11" s="21">
        <v>42</v>
      </c>
      <c r="N11" s="22">
        <f t="shared" si="3"/>
        <v>1470</v>
      </c>
      <c r="O11" s="24" t="str">
        <f t="shared" si="0"/>
        <v>N</v>
      </c>
      <c r="P11" s="21">
        <f t="shared" si="1"/>
        <v>1470</v>
      </c>
    </row>
    <row r="12" spans="1:16" ht="22.5" customHeight="1">
      <c r="A12" s="18">
        <v>109</v>
      </c>
      <c r="B12" s="19">
        <v>45391</v>
      </c>
      <c r="C12" s="20" t="str">
        <f t="shared" si="2"/>
        <v>Apr</v>
      </c>
      <c r="D12" s="20" t="s">
        <v>9</v>
      </c>
      <c r="E12" s="20" t="s">
        <v>39</v>
      </c>
      <c r="F12" s="20" t="s">
        <v>40</v>
      </c>
      <c r="G12" s="20" t="str">
        <f>VLOOKUP(F12,'CUSTOMER INFO'!B3:D10,2,FALSE)</f>
        <v>Shree Medical &amp; General Store</v>
      </c>
      <c r="H12" s="25" t="str">
        <f>VLOOKUP(F12,'CUSTOMER INFO'!B3:D10,3,FALSE)</f>
        <v>Abhijeet Kulkarni</v>
      </c>
      <c r="I12" s="20" t="s">
        <v>67</v>
      </c>
      <c r="J12" s="20" t="s">
        <v>68</v>
      </c>
      <c r="K12" s="19">
        <v>46115</v>
      </c>
      <c r="L12" s="20">
        <v>45</v>
      </c>
      <c r="M12" s="21">
        <v>22</v>
      </c>
      <c r="N12" s="22">
        <f t="shared" si="3"/>
        <v>990</v>
      </c>
      <c r="O12" s="24" t="str">
        <f t="shared" si="0"/>
        <v>N</v>
      </c>
      <c r="P12" s="21">
        <f t="shared" si="1"/>
        <v>990</v>
      </c>
    </row>
    <row r="13" spans="1:16">
      <c r="A13" s="18">
        <v>110</v>
      </c>
      <c r="B13" s="19">
        <v>45392</v>
      </c>
      <c r="C13" s="20" t="str">
        <f t="shared" si="2"/>
        <v>Apr</v>
      </c>
      <c r="D13" s="20" t="s">
        <v>7</v>
      </c>
      <c r="E13" s="20" t="s">
        <v>43</v>
      </c>
      <c r="F13" s="20" t="s">
        <v>44</v>
      </c>
      <c r="G13" s="20" t="str">
        <f>VLOOKUP(F13,'CUSTOMER INFO'!B4:D11,2,FALSE)</f>
        <v>JeevanCare Medical Store</v>
      </c>
      <c r="H13" s="25" t="str">
        <f>VLOOKUP(F13,'CUSTOMER INFO'!B4:D11,3,FALSE)</f>
        <v>Neha Patel</v>
      </c>
      <c r="I13" s="20" t="s">
        <v>69</v>
      </c>
      <c r="J13" s="20" t="s">
        <v>70</v>
      </c>
      <c r="K13" s="19">
        <v>46178</v>
      </c>
      <c r="L13" s="20">
        <v>38</v>
      </c>
      <c r="M13" s="21">
        <v>48</v>
      </c>
      <c r="N13" s="22">
        <f t="shared" si="3"/>
        <v>1824</v>
      </c>
      <c r="O13" s="24" t="str">
        <f t="shared" si="0"/>
        <v>N</v>
      </c>
      <c r="P13" s="21">
        <f t="shared" si="1"/>
        <v>1824</v>
      </c>
    </row>
    <row r="14" spans="1:16">
      <c r="A14" s="18">
        <v>111</v>
      </c>
      <c r="B14" s="19">
        <v>45393</v>
      </c>
      <c r="C14" s="20" t="str">
        <f t="shared" si="2"/>
        <v>Apr</v>
      </c>
      <c r="D14" s="20" t="s">
        <v>3</v>
      </c>
      <c r="E14" s="20" t="s">
        <v>47</v>
      </c>
      <c r="F14" s="20" t="s">
        <v>48</v>
      </c>
      <c r="G14" s="20" t="str">
        <f>VLOOKUP(F14,'CUSTOMER INFO'!B5:D12,2,FALSE)</f>
        <v>Arogya Medical &amp; General</v>
      </c>
      <c r="H14" s="25" t="str">
        <f>VLOOKUP(F14,'CUSTOMER INFO'!B5:D12,3,FALSE)</f>
        <v>Hrishkesh Jadhv</v>
      </c>
      <c r="I14" s="20" t="s">
        <v>71</v>
      </c>
      <c r="J14" s="20" t="s">
        <v>72</v>
      </c>
      <c r="K14" s="19">
        <v>46297</v>
      </c>
      <c r="L14" s="20">
        <v>52</v>
      </c>
      <c r="M14" s="21">
        <v>95</v>
      </c>
      <c r="N14" s="22">
        <f t="shared" si="3"/>
        <v>4940</v>
      </c>
      <c r="O14" s="24" t="str">
        <f t="shared" si="0"/>
        <v>N</v>
      </c>
      <c r="P14" s="21">
        <f t="shared" si="1"/>
        <v>4940</v>
      </c>
    </row>
    <row r="15" spans="1:16">
      <c r="A15" s="18">
        <v>112</v>
      </c>
      <c r="B15" s="19">
        <v>45394</v>
      </c>
      <c r="C15" s="20" t="str">
        <f t="shared" si="2"/>
        <v>Apr</v>
      </c>
      <c r="D15" s="20" t="s">
        <v>8</v>
      </c>
      <c r="E15" s="20" t="s">
        <v>51</v>
      </c>
      <c r="F15" s="20" t="s">
        <v>52</v>
      </c>
      <c r="G15" s="20" t="str">
        <f>VLOOKUP(F15,'CUSTOMER INFO'!B6:D13,2,FALSE)</f>
        <v>MedEase</v>
      </c>
      <c r="H15" s="25" t="str">
        <f>VLOOKUP(F15,'CUSTOMER INFO'!B6:D13,3,FALSE)</f>
        <v>Siddant Patil</v>
      </c>
      <c r="I15" s="20" t="s">
        <v>41</v>
      </c>
      <c r="J15" s="20" t="s">
        <v>73</v>
      </c>
      <c r="K15" s="19">
        <v>46357</v>
      </c>
      <c r="L15" s="20">
        <v>54</v>
      </c>
      <c r="M15" s="21">
        <v>18</v>
      </c>
      <c r="N15" s="22">
        <f t="shared" si="3"/>
        <v>972</v>
      </c>
      <c r="O15" s="24" t="str">
        <f t="shared" si="0"/>
        <v>N</v>
      </c>
      <c r="P15" s="21">
        <f t="shared" si="1"/>
        <v>972</v>
      </c>
    </row>
    <row r="16" spans="1:16">
      <c r="A16" s="18">
        <v>113</v>
      </c>
      <c r="B16" s="19">
        <v>45395</v>
      </c>
      <c r="C16" s="20" t="str">
        <f t="shared" si="2"/>
        <v>Apr</v>
      </c>
      <c r="D16" s="20" t="s">
        <v>5</v>
      </c>
      <c r="E16" s="20" t="s">
        <v>39</v>
      </c>
      <c r="F16" s="20" t="s">
        <v>55</v>
      </c>
      <c r="G16" s="20" t="str">
        <f>VLOOKUP(F16,'CUSTOMER INFO'!B7:D14,2,FALSE)</f>
        <v>CityMed Pharmacy</v>
      </c>
      <c r="H16" s="25" t="str">
        <f>VLOOKUP(F16,'CUSTOMER INFO'!B7:D14,3,FALSE)</f>
        <v>Vikram Shah</v>
      </c>
      <c r="I16" s="20" t="s">
        <v>45</v>
      </c>
      <c r="J16" s="20" t="s">
        <v>74</v>
      </c>
      <c r="K16" s="19">
        <v>46235</v>
      </c>
      <c r="L16" s="20">
        <v>56</v>
      </c>
      <c r="M16" s="21">
        <v>75</v>
      </c>
      <c r="N16" s="22">
        <f t="shared" si="3"/>
        <v>4200</v>
      </c>
      <c r="O16" s="24" t="str">
        <f t="shared" si="0"/>
        <v>N</v>
      </c>
      <c r="P16" s="21">
        <f t="shared" si="1"/>
        <v>4200</v>
      </c>
    </row>
    <row r="17" spans="1:16">
      <c r="A17" s="18">
        <v>114</v>
      </c>
      <c r="B17" s="19">
        <v>45396</v>
      </c>
      <c r="C17" s="20" t="str">
        <f t="shared" si="2"/>
        <v>Apr</v>
      </c>
      <c r="D17" s="20" t="s">
        <v>10</v>
      </c>
      <c r="E17" s="20" t="s">
        <v>43</v>
      </c>
      <c r="F17" s="20" t="s">
        <v>58</v>
      </c>
      <c r="G17" s="20" t="str">
        <f>VLOOKUP(F17,'CUSTOMER INFO'!B8:D15,2,FALSE)</f>
        <v>TrustCare Medicals</v>
      </c>
      <c r="H17" s="25" t="str">
        <f>VLOOKUP(F17,'CUSTOMER INFO'!B8:D15,3,FALSE)</f>
        <v>Pooja Sharma</v>
      </c>
      <c r="I17" s="20" t="s">
        <v>49</v>
      </c>
      <c r="J17" s="20" t="s">
        <v>75</v>
      </c>
      <c r="K17" s="19">
        <v>45870</v>
      </c>
      <c r="L17" s="20">
        <v>28</v>
      </c>
      <c r="M17" s="21">
        <v>55</v>
      </c>
      <c r="N17" s="22">
        <f t="shared" si="3"/>
        <v>1540</v>
      </c>
      <c r="O17" s="24" t="str">
        <f t="shared" si="0"/>
        <v>N</v>
      </c>
      <c r="P17" s="21">
        <f t="shared" si="1"/>
        <v>1540</v>
      </c>
    </row>
    <row r="18" spans="1:16">
      <c r="A18" s="18">
        <v>115</v>
      </c>
      <c r="B18" s="19">
        <v>45397</v>
      </c>
      <c r="C18" s="20" t="str">
        <f t="shared" si="2"/>
        <v>Apr</v>
      </c>
      <c r="D18" s="20" t="s">
        <v>4</v>
      </c>
      <c r="E18" s="20" t="s">
        <v>39</v>
      </c>
      <c r="F18" s="20" t="s">
        <v>61</v>
      </c>
      <c r="G18" s="20" t="str">
        <f>VLOOKUP(F18,'CUSTOMER INFO'!B9:D16,2,FALSE)</f>
        <v>Lifeline Medicals</v>
      </c>
      <c r="H18" s="25" t="str">
        <f>VLOOKUP(F18,'CUSTOMER INFO'!B9:D16,3,FALSE)</f>
        <v>Harshal Singh</v>
      </c>
      <c r="I18" s="20" t="s">
        <v>53</v>
      </c>
      <c r="J18" s="20" t="s">
        <v>76</v>
      </c>
      <c r="K18" s="19">
        <v>46266</v>
      </c>
      <c r="L18" s="20">
        <v>54</v>
      </c>
      <c r="M18" s="21">
        <v>32</v>
      </c>
      <c r="N18" s="22">
        <f t="shared" si="3"/>
        <v>1728</v>
      </c>
      <c r="O18" s="24" t="str">
        <f t="shared" si="0"/>
        <v>N</v>
      </c>
      <c r="P18" s="21">
        <f t="shared" si="1"/>
        <v>1728</v>
      </c>
    </row>
    <row r="19" spans="1:16">
      <c r="A19" s="18">
        <v>116</v>
      </c>
      <c r="B19" s="19">
        <v>45398</v>
      </c>
      <c r="C19" s="20" t="str">
        <f t="shared" si="2"/>
        <v>Apr</v>
      </c>
      <c r="D19" s="20" t="s">
        <v>6</v>
      </c>
      <c r="E19" s="20" t="s">
        <v>43</v>
      </c>
      <c r="F19" s="20" t="s">
        <v>64</v>
      </c>
      <c r="G19" s="20" t="str">
        <f>VLOOKUP(F19,'CUSTOMER INFO'!B10:D17,2,FALSE)</f>
        <v>CarePlus Medical Store</v>
      </c>
      <c r="H19" s="25" t="str">
        <f>VLOOKUP(F19,'CUSTOMER INFO'!B10:D17,3,FALSE)</f>
        <v>Riya Mishra</v>
      </c>
      <c r="I19" s="20" t="s">
        <v>56</v>
      </c>
      <c r="J19" s="20" t="s">
        <v>77</v>
      </c>
      <c r="K19" s="19">
        <v>46357</v>
      </c>
      <c r="L19" s="20">
        <v>60</v>
      </c>
      <c r="M19" s="21">
        <v>90</v>
      </c>
      <c r="N19" s="22">
        <f t="shared" si="3"/>
        <v>5400</v>
      </c>
      <c r="O19" s="24" t="str">
        <f t="shared" si="0"/>
        <v>Y</v>
      </c>
      <c r="P19" s="21">
        <f t="shared" si="1"/>
        <v>5130</v>
      </c>
    </row>
    <row r="20" spans="1:16">
      <c r="A20" s="18">
        <v>117</v>
      </c>
      <c r="B20" s="19">
        <v>45399</v>
      </c>
      <c r="C20" s="20" t="str">
        <f t="shared" si="2"/>
        <v>Apr</v>
      </c>
      <c r="D20" s="20" t="s">
        <v>9</v>
      </c>
      <c r="E20" s="20" t="s">
        <v>47</v>
      </c>
      <c r="F20" s="20" t="s">
        <v>40</v>
      </c>
      <c r="G20" s="20" t="str">
        <f>VLOOKUP(F20,'CUSTOMER INFO'!B3:D10,2,FALSE)</f>
        <v>Shree Medical &amp; General Store</v>
      </c>
      <c r="H20" s="20" t="str">
        <f>VLOOKUP(Table1[[#This Row],[Customer ID]],'CUSTOMER INFO'!B3:D10,3,FALSE)</f>
        <v>Abhijeet Kulkarni</v>
      </c>
      <c r="I20" s="20" t="s">
        <v>59</v>
      </c>
      <c r="J20" s="20" t="s">
        <v>78</v>
      </c>
      <c r="K20" s="19">
        <v>46296</v>
      </c>
      <c r="L20" s="20">
        <v>55</v>
      </c>
      <c r="M20" s="21">
        <v>20</v>
      </c>
      <c r="N20" s="22">
        <f t="shared" si="3"/>
        <v>1100</v>
      </c>
      <c r="O20" s="24" t="str">
        <f t="shared" si="0"/>
        <v>N</v>
      </c>
      <c r="P20" s="21">
        <f t="shared" si="1"/>
        <v>1100</v>
      </c>
    </row>
    <row r="21" spans="1:16">
      <c r="A21" s="18">
        <v>118</v>
      </c>
      <c r="B21" s="19">
        <v>45400</v>
      </c>
      <c r="C21" s="20" t="str">
        <f t="shared" si="2"/>
        <v>Apr</v>
      </c>
      <c r="D21" s="20" t="s">
        <v>9</v>
      </c>
      <c r="E21" s="20" t="s">
        <v>51</v>
      </c>
      <c r="F21" s="20" t="s">
        <v>44</v>
      </c>
      <c r="G21" s="20" t="str">
        <f>VLOOKUP(F21,'CUSTOMER INFO'!B4:D11,2,FALSE)</f>
        <v>JeevanCare Medical Store</v>
      </c>
      <c r="H21" s="20" t="str">
        <f>VLOOKUP(Table1[[#This Row],[Customer ID]],'CUSTOMER INFO'!B4:D11,3,FALSE)</f>
        <v>Neha Patel</v>
      </c>
      <c r="I21" s="20" t="s">
        <v>62</v>
      </c>
      <c r="J21" s="20" t="s">
        <v>79</v>
      </c>
      <c r="K21" s="19">
        <v>46083</v>
      </c>
      <c r="L21" s="20">
        <v>35</v>
      </c>
      <c r="M21" s="21">
        <v>35</v>
      </c>
      <c r="N21" s="22">
        <f t="shared" si="3"/>
        <v>1225</v>
      </c>
      <c r="O21" s="24" t="str">
        <f t="shared" si="0"/>
        <v>N</v>
      </c>
      <c r="P21" s="21">
        <f t="shared" si="1"/>
        <v>1225</v>
      </c>
    </row>
    <row r="22" spans="1:16">
      <c r="A22" s="18">
        <v>119</v>
      </c>
      <c r="B22" s="19">
        <v>45401</v>
      </c>
      <c r="C22" s="20" t="str">
        <f t="shared" si="2"/>
        <v>Apr</v>
      </c>
      <c r="D22" s="20" t="s">
        <v>7</v>
      </c>
      <c r="E22" s="20" t="s">
        <v>39</v>
      </c>
      <c r="F22" s="20" t="s">
        <v>48</v>
      </c>
      <c r="G22" s="20" t="str">
        <f>VLOOKUP(F22,'CUSTOMER INFO'!B5:D12,2,FALSE)</f>
        <v>Arogya Medical &amp; General</v>
      </c>
      <c r="H22" s="20" t="str">
        <f>VLOOKUP(Table1[[#This Row],[Customer ID]],'CUSTOMER INFO'!B5:D12,3,FALSE)</f>
        <v>Hrishkesh Jadhv</v>
      </c>
      <c r="I22" s="20" t="s">
        <v>41</v>
      </c>
      <c r="J22" s="20" t="s">
        <v>73</v>
      </c>
      <c r="K22" s="19">
        <v>46381</v>
      </c>
      <c r="L22" s="20">
        <v>65</v>
      </c>
      <c r="M22" s="21">
        <v>42</v>
      </c>
      <c r="N22" s="22">
        <f t="shared" si="3"/>
        <v>2730</v>
      </c>
      <c r="O22" s="24" t="str">
        <f t="shared" si="0"/>
        <v>Y</v>
      </c>
      <c r="P22" s="21">
        <f t="shared" si="1"/>
        <v>2593.5</v>
      </c>
    </row>
    <row r="23" spans="1:16">
      <c r="A23" s="18">
        <v>120</v>
      </c>
      <c r="B23" s="19">
        <v>45402</v>
      </c>
      <c r="C23" s="20" t="str">
        <f t="shared" si="2"/>
        <v>Apr</v>
      </c>
      <c r="D23" s="20" t="s">
        <v>3</v>
      </c>
      <c r="E23" s="20" t="s">
        <v>43</v>
      </c>
      <c r="F23" s="20" t="s">
        <v>52</v>
      </c>
      <c r="G23" s="20" t="str">
        <f>VLOOKUP(F23,'CUSTOMER INFO'!B6:D13,2,FALSE)</f>
        <v>MedEase</v>
      </c>
      <c r="H23" s="20" t="str">
        <f>VLOOKUP(Table1[[#This Row],[Customer ID]],'CUSTOMER INFO'!B6:D13,3,FALSE)</f>
        <v>Siddant Patil</v>
      </c>
      <c r="I23" s="20" t="s">
        <v>45</v>
      </c>
      <c r="J23" s="20" t="s">
        <v>74</v>
      </c>
      <c r="K23" s="19">
        <v>46115</v>
      </c>
      <c r="L23" s="20">
        <v>45</v>
      </c>
      <c r="M23" s="21">
        <v>22</v>
      </c>
      <c r="N23" s="22">
        <f t="shared" si="3"/>
        <v>990</v>
      </c>
      <c r="O23" s="24" t="str">
        <f t="shared" si="0"/>
        <v>N</v>
      </c>
      <c r="P23" s="21">
        <f t="shared" si="1"/>
        <v>990</v>
      </c>
    </row>
    <row r="24" spans="1:16">
      <c r="A24" s="18">
        <v>121</v>
      </c>
      <c r="B24" s="19">
        <v>45403</v>
      </c>
      <c r="C24" s="20" t="str">
        <f t="shared" si="2"/>
        <v>Apr</v>
      </c>
      <c r="D24" s="20" t="s">
        <v>8</v>
      </c>
      <c r="E24" s="20" t="s">
        <v>47</v>
      </c>
      <c r="F24" s="20" t="s">
        <v>55</v>
      </c>
      <c r="G24" s="20" t="str">
        <f>VLOOKUP(F24,'CUSTOMER INFO'!B7:D14,2,FALSE)</f>
        <v>CityMed Pharmacy</v>
      </c>
      <c r="H24" s="20" t="str">
        <f>VLOOKUP(Table1[[#This Row],[Customer ID]],'CUSTOMER INFO'!B7:D14,3,FALSE)</f>
        <v>Vikram Shah</v>
      </c>
      <c r="I24" s="20" t="s">
        <v>49</v>
      </c>
      <c r="J24" s="20" t="s">
        <v>75</v>
      </c>
      <c r="K24" s="19">
        <v>46178</v>
      </c>
      <c r="L24" s="20">
        <v>35</v>
      </c>
      <c r="M24" s="21">
        <v>48</v>
      </c>
      <c r="N24" s="22">
        <f t="shared" si="3"/>
        <v>1680</v>
      </c>
      <c r="O24" s="24" t="str">
        <f t="shared" si="0"/>
        <v>N</v>
      </c>
      <c r="P24" s="21">
        <f t="shared" si="1"/>
        <v>1680</v>
      </c>
    </row>
    <row r="25" spans="1:16">
      <c r="A25" s="18">
        <v>122</v>
      </c>
      <c r="B25" s="19">
        <v>45404</v>
      </c>
      <c r="C25" s="20" t="str">
        <f t="shared" si="2"/>
        <v>Apr</v>
      </c>
      <c r="D25" s="20" t="s">
        <v>5</v>
      </c>
      <c r="E25" s="20" t="s">
        <v>51</v>
      </c>
      <c r="F25" s="20" t="s">
        <v>58</v>
      </c>
      <c r="G25" s="20" t="str">
        <f>VLOOKUP(F25,'CUSTOMER INFO'!B8:D15,2,FALSE)</f>
        <v>TrustCare Medicals</v>
      </c>
      <c r="H25" s="20" t="str">
        <f>VLOOKUP(Table1[[#This Row],[Customer ID]],'CUSTOMER INFO'!B8:D15,3,FALSE)</f>
        <v>Pooja Sharma</v>
      </c>
      <c r="I25" s="20" t="s">
        <v>53</v>
      </c>
      <c r="J25" s="20" t="s">
        <v>76</v>
      </c>
      <c r="K25" s="19">
        <v>46297</v>
      </c>
      <c r="L25" s="20">
        <v>54</v>
      </c>
      <c r="M25" s="21">
        <v>95</v>
      </c>
      <c r="N25" s="22">
        <f t="shared" si="3"/>
        <v>5130</v>
      </c>
      <c r="O25" s="24" t="str">
        <f t="shared" si="0"/>
        <v>N</v>
      </c>
      <c r="P25" s="21">
        <f t="shared" si="1"/>
        <v>5130</v>
      </c>
    </row>
    <row r="26" spans="1:16">
      <c r="A26" s="18">
        <v>123</v>
      </c>
      <c r="B26" s="19">
        <v>45405</v>
      </c>
      <c r="C26" s="20" t="str">
        <f t="shared" si="2"/>
        <v>Apr</v>
      </c>
      <c r="D26" s="20" t="s">
        <v>10</v>
      </c>
      <c r="E26" s="20" t="s">
        <v>39</v>
      </c>
      <c r="F26" s="20" t="s">
        <v>61</v>
      </c>
      <c r="G26" s="20" t="str">
        <f>VLOOKUP(F26,'CUSTOMER INFO'!B9:D16,2,FALSE)</f>
        <v>Lifeline Medicals</v>
      </c>
      <c r="H26" s="20" t="str">
        <f>VLOOKUP(Table1[[#This Row],[Customer ID]],'CUSTOMER INFO'!B9:D16,3,FALSE)</f>
        <v>Harshal Singh</v>
      </c>
      <c r="I26" s="20" t="s">
        <v>56</v>
      </c>
      <c r="J26" s="20" t="s">
        <v>77</v>
      </c>
      <c r="K26" s="19">
        <v>46357</v>
      </c>
      <c r="L26" s="20">
        <v>45</v>
      </c>
      <c r="M26" s="21">
        <v>18</v>
      </c>
      <c r="N26" s="22">
        <f t="shared" si="3"/>
        <v>810</v>
      </c>
      <c r="O26" s="24" t="str">
        <f t="shared" si="0"/>
        <v>N</v>
      </c>
      <c r="P26" s="21">
        <f t="shared" si="1"/>
        <v>810</v>
      </c>
    </row>
    <row r="27" spans="1:16">
      <c r="A27" s="18">
        <v>124</v>
      </c>
      <c r="B27" s="19">
        <v>45406</v>
      </c>
      <c r="C27" s="20" t="str">
        <f t="shared" si="2"/>
        <v>Apr</v>
      </c>
      <c r="D27" s="20" t="s">
        <v>4</v>
      </c>
      <c r="E27" s="20" t="s">
        <v>43</v>
      </c>
      <c r="F27" s="20" t="s">
        <v>64</v>
      </c>
      <c r="G27" s="20" t="str">
        <f>VLOOKUP(F27,'CUSTOMER INFO'!B10:D17,2,FALSE)</f>
        <v>CarePlus Medical Store</v>
      </c>
      <c r="H27" s="20" t="str">
        <f>VLOOKUP(Table1[[#This Row],[Customer ID]],'CUSTOMER INFO'!B10:D17,3,FALSE)</f>
        <v>Riya Mishra</v>
      </c>
      <c r="I27" s="20" t="s">
        <v>59</v>
      </c>
      <c r="J27" s="20" t="s">
        <v>78</v>
      </c>
      <c r="K27" s="19">
        <v>46235</v>
      </c>
      <c r="L27" s="20">
        <v>35</v>
      </c>
      <c r="M27" s="21">
        <v>75</v>
      </c>
      <c r="N27" s="22">
        <f t="shared" si="3"/>
        <v>2625</v>
      </c>
      <c r="O27" s="24" t="str">
        <f t="shared" si="0"/>
        <v>N</v>
      </c>
      <c r="P27" s="21">
        <f t="shared" si="1"/>
        <v>2625</v>
      </c>
    </row>
    <row r="28" spans="1:16">
      <c r="A28" s="18">
        <v>125</v>
      </c>
      <c r="B28" s="19">
        <v>45407</v>
      </c>
      <c r="C28" s="20" t="str">
        <f t="shared" si="2"/>
        <v>Apr</v>
      </c>
      <c r="D28" s="20" t="s">
        <v>6</v>
      </c>
      <c r="E28" s="20" t="s">
        <v>47</v>
      </c>
      <c r="F28" s="20" t="s">
        <v>40</v>
      </c>
      <c r="G28" s="20" t="str">
        <f>VLOOKUP(F28,'CUSTOMER INFO'!B3:D10,2,FALSE)</f>
        <v>Shree Medical &amp; General Store</v>
      </c>
      <c r="H28" s="20" t="str">
        <f>VLOOKUP(Table1[[#This Row],[Customer ID]],'CUSTOMER INFO'!B3:D10,3,FALSE)</f>
        <v>Abhijeet Kulkarni</v>
      </c>
      <c r="I28" s="20" t="s">
        <v>62</v>
      </c>
      <c r="J28" s="20" t="s">
        <v>79</v>
      </c>
      <c r="K28" s="19">
        <v>45870</v>
      </c>
      <c r="L28" s="20">
        <v>25</v>
      </c>
      <c r="M28" s="21">
        <v>55</v>
      </c>
      <c r="N28" s="22">
        <f t="shared" si="3"/>
        <v>1375</v>
      </c>
      <c r="O28" s="24" t="str">
        <f t="shared" si="0"/>
        <v>N</v>
      </c>
      <c r="P28" s="21">
        <f t="shared" si="1"/>
        <v>1375</v>
      </c>
    </row>
    <row r="29" spans="1:16">
      <c r="A29" s="18">
        <v>126</v>
      </c>
      <c r="B29" s="19">
        <v>45408</v>
      </c>
      <c r="C29" s="20" t="str">
        <f t="shared" si="2"/>
        <v>Apr</v>
      </c>
      <c r="D29" s="20" t="s">
        <v>9</v>
      </c>
      <c r="E29" s="20" t="s">
        <v>51</v>
      </c>
      <c r="F29" s="20" t="s">
        <v>44</v>
      </c>
      <c r="G29" s="20" t="str">
        <f>VLOOKUP(F29,'CUSTOMER INFO'!B4:D11,2,FALSE)</f>
        <v>JeevanCare Medical Store</v>
      </c>
      <c r="H29" s="20" t="str">
        <f>VLOOKUP(Table1[[#This Row],[Customer ID]],'CUSTOMER INFO'!B4:D11,3,FALSE)</f>
        <v>Neha Patel</v>
      </c>
      <c r="I29" s="20" t="s">
        <v>65</v>
      </c>
      <c r="J29" s="20" t="s">
        <v>80</v>
      </c>
      <c r="K29" s="19">
        <v>46266</v>
      </c>
      <c r="L29" s="20">
        <v>25</v>
      </c>
      <c r="M29" s="21">
        <v>32</v>
      </c>
      <c r="N29" s="22">
        <f t="shared" si="3"/>
        <v>800</v>
      </c>
      <c r="O29" s="24" t="str">
        <f t="shared" si="0"/>
        <v>N</v>
      </c>
      <c r="P29" s="21">
        <f t="shared" si="1"/>
        <v>800</v>
      </c>
    </row>
    <row r="30" spans="1:16">
      <c r="A30" s="18">
        <v>127</v>
      </c>
      <c r="B30" s="19">
        <v>45409</v>
      </c>
      <c r="C30" s="20" t="str">
        <f t="shared" si="2"/>
        <v>Apr</v>
      </c>
      <c r="D30" s="20" t="s">
        <v>7</v>
      </c>
      <c r="E30" s="20" t="s">
        <v>39</v>
      </c>
      <c r="F30" s="20" t="s">
        <v>48</v>
      </c>
      <c r="G30" s="20" t="str">
        <f>VLOOKUP(F30,'CUSTOMER INFO'!B5:D12,2,FALSE)</f>
        <v>Arogya Medical &amp; General</v>
      </c>
      <c r="H30" s="20" t="str">
        <f>VLOOKUP(Table1[[#This Row],[Customer ID]],'CUSTOMER INFO'!B5:D12,3,FALSE)</f>
        <v>Hrishkesh Jadhv</v>
      </c>
      <c r="I30" s="20" t="s">
        <v>67</v>
      </c>
      <c r="J30" s="20" t="s">
        <v>81</v>
      </c>
      <c r="K30" s="19">
        <v>46357</v>
      </c>
      <c r="L30" s="20">
        <v>35</v>
      </c>
      <c r="M30" s="21">
        <v>90</v>
      </c>
      <c r="N30" s="22">
        <f t="shared" si="3"/>
        <v>3150</v>
      </c>
      <c r="O30" s="24" t="str">
        <f t="shared" si="0"/>
        <v>N</v>
      </c>
      <c r="P30" s="21">
        <f t="shared" si="1"/>
        <v>3150</v>
      </c>
    </row>
    <row r="31" spans="1:16">
      <c r="A31" s="18">
        <v>128</v>
      </c>
      <c r="B31" s="19">
        <v>45410</v>
      </c>
      <c r="C31" s="20" t="str">
        <f t="shared" si="2"/>
        <v>Apr</v>
      </c>
      <c r="D31" s="20" t="s">
        <v>3</v>
      </c>
      <c r="E31" s="20" t="s">
        <v>43</v>
      </c>
      <c r="F31" s="20" t="s">
        <v>52</v>
      </c>
      <c r="G31" s="20" t="str">
        <f>VLOOKUP(F31,'CUSTOMER INFO'!B6:D13,2,FALSE)</f>
        <v>MedEase</v>
      </c>
      <c r="H31" s="20" t="str">
        <f>VLOOKUP(Table1[[#This Row],[Customer ID]],'CUSTOMER INFO'!B6:D13,3,FALSE)</f>
        <v>Siddant Patil</v>
      </c>
      <c r="I31" s="20" t="s">
        <v>69</v>
      </c>
      <c r="J31" s="20" t="s">
        <v>82</v>
      </c>
      <c r="K31" s="19">
        <v>46296</v>
      </c>
      <c r="L31" s="20">
        <v>45</v>
      </c>
      <c r="M31" s="21">
        <v>20</v>
      </c>
      <c r="N31" s="22">
        <f t="shared" si="3"/>
        <v>900</v>
      </c>
      <c r="O31" s="24" t="str">
        <f t="shared" si="0"/>
        <v>N</v>
      </c>
      <c r="P31" s="21">
        <f t="shared" si="1"/>
        <v>900</v>
      </c>
    </row>
    <row r="32" spans="1:16">
      <c r="A32" s="18">
        <v>129</v>
      </c>
      <c r="B32" s="19">
        <v>45411</v>
      </c>
      <c r="C32" s="20" t="str">
        <f t="shared" si="2"/>
        <v>Apr</v>
      </c>
      <c r="D32" s="20" t="s">
        <v>8</v>
      </c>
      <c r="E32" s="20" t="s">
        <v>39</v>
      </c>
      <c r="F32" s="20" t="s">
        <v>55</v>
      </c>
      <c r="G32" s="20" t="str">
        <f>VLOOKUP(F32,'CUSTOMER INFO'!B7:D14,2,FALSE)</f>
        <v>CityMed Pharmacy</v>
      </c>
      <c r="H32" s="20" t="str">
        <f>VLOOKUP(Table1[[#This Row],[Customer ID]],'CUSTOMER INFO'!B7:D14,3,FALSE)</f>
        <v>Vikram Shah</v>
      </c>
      <c r="I32" s="20" t="s">
        <v>71</v>
      </c>
      <c r="J32" s="20" t="s">
        <v>83</v>
      </c>
      <c r="K32" s="19">
        <v>46083</v>
      </c>
      <c r="L32" s="20">
        <v>54</v>
      </c>
      <c r="M32" s="21">
        <v>35</v>
      </c>
      <c r="N32" s="22">
        <f t="shared" si="3"/>
        <v>1890</v>
      </c>
      <c r="O32" s="24" t="str">
        <f t="shared" si="0"/>
        <v>N</v>
      </c>
      <c r="P32" s="21">
        <f t="shared" si="1"/>
        <v>1890</v>
      </c>
    </row>
    <row r="33" spans="1:16">
      <c r="A33" s="18">
        <v>130</v>
      </c>
      <c r="B33" s="19">
        <v>45412</v>
      </c>
      <c r="C33" s="20" t="str">
        <f t="shared" si="2"/>
        <v>Apr</v>
      </c>
      <c r="D33" s="20" t="s">
        <v>5</v>
      </c>
      <c r="E33" s="20" t="s">
        <v>43</v>
      </c>
      <c r="F33" s="20" t="s">
        <v>58</v>
      </c>
      <c r="G33" s="20" t="str">
        <f>VLOOKUP(F33,'CUSTOMER INFO'!B8:D15,2,FALSE)</f>
        <v>TrustCare Medicals</v>
      </c>
      <c r="H33" s="20" t="str">
        <f>VLOOKUP(Table1[[#This Row],[Customer ID]],'CUSTOMER INFO'!B8:D15,3,FALSE)</f>
        <v>Pooja Sharma</v>
      </c>
      <c r="I33" s="20" t="s">
        <v>41</v>
      </c>
      <c r="J33" s="20" t="s">
        <v>84</v>
      </c>
      <c r="K33" s="19">
        <v>46381</v>
      </c>
      <c r="L33" s="20">
        <v>65</v>
      </c>
      <c r="M33" s="21">
        <v>42</v>
      </c>
      <c r="N33" s="22">
        <f t="shared" si="3"/>
        <v>2730</v>
      </c>
      <c r="O33" s="24" t="str">
        <f t="shared" si="0"/>
        <v>Y</v>
      </c>
      <c r="P33" s="21">
        <f t="shared" si="1"/>
        <v>2593.5</v>
      </c>
    </row>
    <row r="34" spans="1:16">
      <c r="A34" s="18">
        <v>131</v>
      </c>
      <c r="B34" s="19">
        <v>45413</v>
      </c>
      <c r="C34" s="20" t="str">
        <f t="shared" si="2"/>
        <v>May</v>
      </c>
      <c r="D34" s="20" t="s">
        <v>10</v>
      </c>
      <c r="E34" s="20" t="s">
        <v>47</v>
      </c>
      <c r="F34" s="20" t="s">
        <v>61</v>
      </c>
      <c r="G34" s="20" t="str">
        <f>VLOOKUP(F34,'CUSTOMER INFO'!B9:D16,2,FALSE)</f>
        <v>Lifeline Medicals</v>
      </c>
      <c r="H34" s="20" t="str">
        <f>VLOOKUP(Table1[[#This Row],[Customer ID]],'CUSTOMER INFO'!B9:D16,3,FALSE)</f>
        <v>Harshal Singh</v>
      </c>
      <c r="I34" s="20" t="s">
        <v>45</v>
      </c>
      <c r="J34" s="20" t="s">
        <v>85</v>
      </c>
      <c r="K34" s="19">
        <v>46115</v>
      </c>
      <c r="L34" s="20">
        <v>45</v>
      </c>
      <c r="M34" s="21">
        <v>22</v>
      </c>
      <c r="N34" s="22">
        <f t="shared" si="3"/>
        <v>990</v>
      </c>
      <c r="O34" s="24" t="str">
        <f t="shared" si="0"/>
        <v>N</v>
      </c>
      <c r="P34" s="21">
        <f t="shared" si="1"/>
        <v>990</v>
      </c>
    </row>
    <row r="35" spans="1:16">
      <c r="A35" s="18">
        <v>132</v>
      </c>
      <c r="B35" s="19">
        <v>45414</v>
      </c>
      <c r="C35" s="20" t="str">
        <f t="shared" si="2"/>
        <v>May</v>
      </c>
      <c r="D35" s="20" t="s">
        <v>4</v>
      </c>
      <c r="E35" s="20" t="s">
        <v>51</v>
      </c>
      <c r="F35" s="20" t="s">
        <v>64</v>
      </c>
      <c r="G35" s="20" t="str">
        <f>VLOOKUP(F35,'CUSTOMER INFO'!B10:D17,2,FALSE)</f>
        <v>CarePlus Medical Store</v>
      </c>
      <c r="H35" s="20" t="str">
        <f>VLOOKUP(Table1[[#This Row],[Customer ID]],'CUSTOMER INFO'!B10:D17,3,FALSE)</f>
        <v>Riya Mishra</v>
      </c>
      <c r="I35" s="20" t="s">
        <v>49</v>
      </c>
      <c r="J35" s="20" t="s">
        <v>86</v>
      </c>
      <c r="K35" s="19">
        <v>46178</v>
      </c>
      <c r="L35" s="20">
        <v>35</v>
      </c>
      <c r="M35" s="21">
        <v>48</v>
      </c>
      <c r="N35" s="22">
        <f t="shared" si="3"/>
        <v>1680</v>
      </c>
      <c r="O35" s="24" t="str">
        <f t="shared" si="0"/>
        <v>N</v>
      </c>
      <c r="P35" s="21">
        <f t="shared" si="1"/>
        <v>1680</v>
      </c>
    </row>
    <row r="36" spans="1:16">
      <c r="A36" s="18">
        <v>133</v>
      </c>
      <c r="B36" s="19">
        <v>45415</v>
      </c>
      <c r="C36" s="20" t="str">
        <f t="shared" si="2"/>
        <v>May</v>
      </c>
      <c r="D36" s="20" t="s">
        <v>6</v>
      </c>
      <c r="E36" s="20" t="s">
        <v>39</v>
      </c>
      <c r="F36" s="20" t="s">
        <v>40</v>
      </c>
      <c r="G36" s="20" t="str">
        <f>VLOOKUP(F36,'CUSTOMER INFO'!B3:D10,2,FALSE)</f>
        <v>Shree Medical &amp; General Store</v>
      </c>
      <c r="H36" s="20" t="str">
        <f>VLOOKUP(Table1[[#This Row],[Customer ID]],'CUSTOMER INFO'!B3:D10,3,FALSE)</f>
        <v>Abhijeet Kulkarni</v>
      </c>
      <c r="I36" s="20" t="s">
        <v>53</v>
      </c>
      <c r="J36" s="20" t="s">
        <v>87</v>
      </c>
      <c r="K36" s="19">
        <v>46297</v>
      </c>
      <c r="L36" s="20">
        <v>45</v>
      </c>
      <c r="M36" s="21">
        <v>95</v>
      </c>
      <c r="N36" s="22">
        <f t="shared" si="3"/>
        <v>4275</v>
      </c>
      <c r="O36" s="24" t="str">
        <f t="shared" si="0"/>
        <v>N</v>
      </c>
      <c r="P36" s="21">
        <f t="shared" si="1"/>
        <v>4275</v>
      </c>
    </row>
    <row r="37" spans="1:16">
      <c r="A37" s="18">
        <v>134</v>
      </c>
      <c r="B37" s="19">
        <v>45416</v>
      </c>
      <c r="C37" s="20" t="str">
        <f t="shared" si="2"/>
        <v>May</v>
      </c>
      <c r="D37" s="20" t="s">
        <v>9</v>
      </c>
      <c r="E37" s="20" t="s">
        <v>43</v>
      </c>
      <c r="F37" s="20" t="s">
        <v>44</v>
      </c>
      <c r="G37" s="20" t="str">
        <f>VLOOKUP(F37,'CUSTOMER INFO'!B4:D11,2,FALSE)</f>
        <v>JeevanCare Medical Store</v>
      </c>
      <c r="H37" s="20" t="str">
        <f>VLOOKUP(Table1[[#This Row],[Customer ID]],'CUSTOMER INFO'!B4:D11,3,FALSE)</f>
        <v>Neha Patel</v>
      </c>
      <c r="I37" s="20" t="s">
        <v>56</v>
      </c>
      <c r="J37" s="20" t="s">
        <v>88</v>
      </c>
      <c r="K37" s="19">
        <v>46357</v>
      </c>
      <c r="L37" s="20">
        <v>30</v>
      </c>
      <c r="M37" s="21">
        <v>18</v>
      </c>
      <c r="N37" s="22">
        <f t="shared" si="3"/>
        <v>540</v>
      </c>
      <c r="O37" s="24" t="str">
        <f t="shared" si="0"/>
        <v>N</v>
      </c>
      <c r="P37" s="21">
        <f t="shared" si="1"/>
        <v>540</v>
      </c>
    </row>
    <row r="38" spans="1:16">
      <c r="A38" s="18">
        <v>135</v>
      </c>
      <c r="B38" s="19">
        <v>45417</v>
      </c>
      <c r="C38" s="20" t="str">
        <f t="shared" si="2"/>
        <v>May</v>
      </c>
      <c r="D38" s="20" t="s">
        <v>9</v>
      </c>
      <c r="E38" s="20" t="s">
        <v>47</v>
      </c>
      <c r="F38" s="20" t="s">
        <v>48</v>
      </c>
      <c r="G38" s="20" t="str">
        <f>VLOOKUP(F38,'CUSTOMER INFO'!B5:D12,2,FALSE)</f>
        <v>Arogya Medical &amp; General</v>
      </c>
      <c r="H38" s="20" t="str">
        <f>VLOOKUP(Table1[[#This Row],[Customer ID]],'CUSTOMER INFO'!B5:D12,3,FALSE)</f>
        <v>Hrishkesh Jadhv</v>
      </c>
      <c r="I38" s="20" t="s">
        <v>59</v>
      </c>
      <c r="J38" s="20" t="s">
        <v>89</v>
      </c>
      <c r="K38" s="19">
        <v>46235</v>
      </c>
      <c r="L38" s="20">
        <v>65</v>
      </c>
      <c r="M38" s="21">
        <v>75</v>
      </c>
      <c r="N38" s="22">
        <f t="shared" si="3"/>
        <v>4875</v>
      </c>
      <c r="O38" s="24" t="str">
        <f t="shared" si="0"/>
        <v>Y</v>
      </c>
      <c r="P38" s="21">
        <f t="shared" si="1"/>
        <v>4631.25</v>
      </c>
    </row>
    <row r="39" spans="1:16">
      <c r="A39" s="18">
        <v>136</v>
      </c>
      <c r="B39" s="19">
        <v>45418</v>
      </c>
      <c r="C39" s="20" t="str">
        <f t="shared" si="2"/>
        <v>May</v>
      </c>
      <c r="D39" s="20" t="s">
        <v>7</v>
      </c>
      <c r="E39" s="20" t="s">
        <v>51</v>
      </c>
      <c r="F39" s="20" t="s">
        <v>52</v>
      </c>
      <c r="G39" s="20" t="str">
        <f>VLOOKUP(F39,'CUSTOMER INFO'!B6:D13,2,FALSE)</f>
        <v>MedEase</v>
      </c>
      <c r="H39" s="20" t="str">
        <f>VLOOKUP(Table1[[#This Row],[Customer ID]],'CUSTOMER INFO'!B6:D13,3,FALSE)</f>
        <v>Siddant Patil</v>
      </c>
      <c r="I39" s="20" t="s">
        <v>62</v>
      </c>
      <c r="J39" s="20" t="s">
        <v>90</v>
      </c>
      <c r="K39" s="19">
        <v>45870</v>
      </c>
      <c r="L39" s="20">
        <v>35</v>
      </c>
      <c r="M39" s="21">
        <v>55</v>
      </c>
      <c r="N39" s="22">
        <f t="shared" si="3"/>
        <v>1925</v>
      </c>
      <c r="O39" s="24" t="str">
        <f t="shared" si="0"/>
        <v>N</v>
      </c>
      <c r="P39" s="21">
        <f t="shared" si="1"/>
        <v>1925</v>
      </c>
    </row>
    <row r="40" spans="1:16">
      <c r="A40" s="18">
        <v>137</v>
      </c>
      <c r="B40" s="19">
        <v>45419</v>
      </c>
      <c r="C40" s="20" t="str">
        <f t="shared" si="2"/>
        <v>May</v>
      </c>
      <c r="D40" s="20" t="s">
        <v>3</v>
      </c>
      <c r="E40" s="20" t="s">
        <v>39</v>
      </c>
      <c r="F40" s="20" t="s">
        <v>55</v>
      </c>
      <c r="G40" s="20" t="str">
        <f>VLOOKUP(F40,'CUSTOMER INFO'!B7:D14,2,FALSE)</f>
        <v>CityMed Pharmacy</v>
      </c>
      <c r="H40" s="20" t="str">
        <f>VLOOKUP(Table1[[#This Row],[Customer ID]],'CUSTOMER INFO'!B7:D14,3,FALSE)</f>
        <v>Vikram Shah</v>
      </c>
      <c r="I40" s="20" t="s">
        <v>41</v>
      </c>
      <c r="J40" s="20" t="s">
        <v>84</v>
      </c>
      <c r="K40" s="19">
        <v>46266</v>
      </c>
      <c r="L40" s="20">
        <v>55</v>
      </c>
      <c r="M40" s="21">
        <v>32</v>
      </c>
      <c r="N40" s="22">
        <f t="shared" si="3"/>
        <v>1760</v>
      </c>
      <c r="O40" s="24" t="str">
        <f t="shared" si="0"/>
        <v>N</v>
      </c>
      <c r="P40" s="21">
        <f t="shared" si="1"/>
        <v>1760</v>
      </c>
    </row>
    <row r="41" spans="1:16">
      <c r="A41" s="18">
        <v>138</v>
      </c>
      <c r="B41" s="19">
        <v>45420</v>
      </c>
      <c r="C41" s="20" t="str">
        <f t="shared" si="2"/>
        <v>May</v>
      </c>
      <c r="D41" s="20" t="s">
        <v>8</v>
      </c>
      <c r="E41" s="20" t="s">
        <v>43</v>
      </c>
      <c r="F41" s="20" t="s">
        <v>58</v>
      </c>
      <c r="G41" s="20" t="str">
        <f>VLOOKUP(F41,'CUSTOMER INFO'!B8:D15,2,FALSE)</f>
        <v>TrustCare Medicals</v>
      </c>
      <c r="H41" s="20" t="str">
        <f>VLOOKUP(Table1[[#This Row],[Customer ID]],'CUSTOMER INFO'!B8:D15,3,FALSE)</f>
        <v>Pooja Sharma</v>
      </c>
      <c r="I41" s="20" t="s">
        <v>45</v>
      </c>
      <c r="J41" s="20" t="s">
        <v>85</v>
      </c>
      <c r="K41" s="19">
        <v>46357</v>
      </c>
      <c r="L41" s="20">
        <v>32</v>
      </c>
      <c r="M41" s="21">
        <v>90</v>
      </c>
      <c r="N41" s="22">
        <f t="shared" si="3"/>
        <v>2880</v>
      </c>
      <c r="O41" s="24" t="str">
        <f t="shared" si="0"/>
        <v>N</v>
      </c>
      <c r="P41" s="21">
        <f t="shared" si="1"/>
        <v>2880</v>
      </c>
    </row>
    <row r="42" spans="1:16">
      <c r="A42" s="18">
        <v>139</v>
      </c>
      <c r="B42" s="19">
        <v>45421</v>
      </c>
      <c r="C42" s="20" t="str">
        <f t="shared" si="2"/>
        <v>May</v>
      </c>
      <c r="D42" s="20" t="s">
        <v>5</v>
      </c>
      <c r="E42" s="20" t="s">
        <v>47</v>
      </c>
      <c r="F42" s="20" t="s">
        <v>61</v>
      </c>
      <c r="G42" s="20" t="str">
        <f>VLOOKUP(F42,'CUSTOMER INFO'!B9:D16,2,FALSE)</f>
        <v>Lifeline Medicals</v>
      </c>
      <c r="H42" s="20" t="str">
        <f>VLOOKUP(Table1[[#This Row],[Customer ID]],'CUSTOMER INFO'!B9:D16,3,FALSE)</f>
        <v>Harshal Singh</v>
      </c>
      <c r="I42" s="20" t="s">
        <v>49</v>
      </c>
      <c r="J42" s="20" t="s">
        <v>86</v>
      </c>
      <c r="K42" s="19">
        <v>46296</v>
      </c>
      <c r="L42" s="20">
        <v>48</v>
      </c>
      <c r="M42" s="21">
        <v>20</v>
      </c>
      <c r="N42" s="22">
        <f t="shared" si="3"/>
        <v>960</v>
      </c>
      <c r="O42" s="24" t="str">
        <f t="shared" si="0"/>
        <v>N</v>
      </c>
      <c r="P42" s="21">
        <f t="shared" si="1"/>
        <v>960</v>
      </c>
    </row>
    <row r="43" spans="1:16">
      <c r="A43" s="18">
        <v>140</v>
      </c>
      <c r="B43" s="19">
        <v>45422</v>
      </c>
      <c r="C43" s="20" t="str">
        <f t="shared" si="2"/>
        <v>May</v>
      </c>
      <c r="D43" s="20" t="s">
        <v>10</v>
      </c>
      <c r="E43" s="20" t="s">
        <v>51</v>
      </c>
      <c r="F43" s="20" t="s">
        <v>64</v>
      </c>
      <c r="G43" s="20" t="str">
        <f>VLOOKUP(F43,'CUSTOMER INFO'!B10:D17,2,FALSE)</f>
        <v>CarePlus Medical Store</v>
      </c>
      <c r="H43" s="20" t="str">
        <f>VLOOKUP(Table1[[#This Row],[Customer ID]],'CUSTOMER INFO'!B10:D17,3,FALSE)</f>
        <v>Riya Mishra</v>
      </c>
      <c r="I43" s="20" t="s">
        <v>53</v>
      </c>
      <c r="J43" s="20" t="s">
        <v>87</v>
      </c>
      <c r="K43" s="19">
        <v>46083</v>
      </c>
      <c r="L43" s="20">
        <v>54</v>
      </c>
      <c r="M43" s="21">
        <v>35</v>
      </c>
      <c r="N43" s="22">
        <f t="shared" si="3"/>
        <v>1890</v>
      </c>
      <c r="O43" s="24" t="str">
        <f t="shared" si="0"/>
        <v>N</v>
      </c>
      <c r="P43" s="21">
        <f t="shared" si="1"/>
        <v>1890</v>
      </c>
    </row>
    <row r="44" spans="1:16">
      <c r="A44" s="18">
        <v>141</v>
      </c>
      <c r="B44" s="19">
        <v>45423</v>
      </c>
      <c r="C44" s="20" t="str">
        <f t="shared" si="2"/>
        <v>May</v>
      </c>
      <c r="D44" s="20" t="s">
        <v>4</v>
      </c>
      <c r="E44" s="20" t="s">
        <v>39</v>
      </c>
      <c r="F44" s="20" t="s">
        <v>40</v>
      </c>
      <c r="G44" s="20" t="str">
        <f>VLOOKUP(F44,'CUSTOMER INFO'!B3:D10,2,FALSE)</f>
        <v>Shree Medical &amp; General Store</v>
      </c>
      <c r="H44" s="20" t="str">
        <f>VLOOKUP(Table1[[#This Row],[Customer ID]],'CUSTOMER INFO'!B3:D10,3,FALSE)</f>
        <v>Abhijeet Kulkarni</v>
      </c>
      <c r="I44" s="20" t="s">
        <v>56</v>
      </c>
      <c r="J44" s="20" t="s">
        <v>88</v>
      </c>
      <c r="K44" s="19">
        <v>46381</v>
      </c>
      <c r="L44" s="20">
        <v>28</v>
      </c>
      <c r="M44" s="21">
        <v>42</v>
      </c>
      <c r="N44" s="22">
        <f t="shared" si="3"/>
        <v>1176</v>
      </c>
      <c r="O44" s="24" t="str">
        <f t="shared" si="0"/>
        <v>N</v>
      </c>
      <c r="P44" s="21">
        <f t="shared" si="1"/>
        <v>1176</v>
      </c>
    </row>
    <row r="45" spans="1:16">
      <c r="A45" s="18">
        <v>142</v>
      </c>
      <c r="B45" s="19">
        <v>45424</v>
      </c>
      <c r="C45" s="20" t="str">
        <f t="shared" si="2"/>
        <v>May</v>
      </c>
      <c r="D45" s="20" t="s">
        <v>6</v>
      </c>
      <c r="E45" s="20" t="s">
        <v>43</v>
      </c>
      <c r="F45" s="20" t="s">
        <v>44</v>
      </c>
      <c r="G45" s="20" t="str">
        <f>VLOOKUP(F45,'CUSTOMER INFO'!B4:D11,2,FALSE)</f>
        <v>JeevanCare Medical Store</v>
      </c>
      <c r="H45" s="20" t="str">
        <f>VLOOKUP(Table1[[#This Row],[Customer ID]],'CUSTOMER INFO'!B4:D11,3,FALSE)</f>
        <v>Neha Patel</v>
      </c>
      <c r="I45" s="20" t="s">
        <v>59</v>
      </c>
      <c r="J45" s="20" t="s">
        <v>89</v>
      </c>
      <c r="K45" s="19">
        <v>46115</v>
      </c>
      <c r="L45" s="20">
        <v>35</v>
      </c>
      <c r="M45" s="21">
        <v>22</v>
      </c>
      <c r="N45" s="22">
        <f t="shared" si="3"/>
        <v>770</v>
      </c>
      <c r="O45" s="24" t="str">
        <f t="shared" si="0"/>
        <v>N</v>
      </c>
      <c r="P45" s="21">
        <f t="shared" si="1"/>
        <v>770</v>
      </c>
    </row>
    <row r="46" spans="1:16">
      <c r="A46" s="18">
        <v>143</v>
      </c>
      <c r="B46" s="19">
        <v>45425</v>
      </c>
      <c r="C46" s="20" t="str">
        <f t="shared" si="2"/>
        <v>May</v>
      </c>
      <c r="D46" s="20" t="s">
        <v>9</v>
      </c>
      <c r="E46" s="20" t="s">
        <v>39</v>
      </c>
      <c r="F46" s="20" t="s">
        <v>48</v>
      </c>
      <c r="G46" s="20" t="str">
        <f>VLOOKUP(F46,'CUSTOMER INFO'!B5:D12,2,FALSE)</f>
        <v>Arogya Medical &amp; General</v>
      </c>
      <c r="H46" s="20" t="str">
        <f>VLOOKUP(Table1[[#This Row],[Customer ID]],'CUSTOMER INFO'!B5:D12,3,FALSE)</f>
        <v>Hrishkesh Jadhv</v>
      </c>
      <c r="I46" s="20" t="s">
        <v>62</v>
      </c>
      <c r="J46" s="20" t="s">
        <v>90</v>
      </c>
      <c r="K46" s="19">
        <v>46178</v>
      </c>
      <c r="L46" s="20">
        <v>22</v>
      </c>
      <c r="M46" s="21">
        <v>48</v>
      </c>
      <c r="N46" s="22">
        <f t="shared" si="3"/>
        <v>1056</v>
      </c>
      <c r="O46" s="24" t="str">
        <f t="shared" si="0"/>
        <v>N</v>
      </c>
      <c r="P46" s="21">
        <f t="shared" si="1"/>
        <v>1056</v>
      </c>
    </row>
    <row r="47" spans="1:16">
      <c r="A47" s="18">
        <v>144</v>
      </c>
      <c r="B47" s="19">
        <v>45426</v>
      </c>
      <c r="C47" s="20" t="str">
        <f t="shared" si="2"/>
        <v>May</v>
      </c>
      <c r="D47" s="20" t="s">
        <v>7</v>
      </c>
      <c r="E47" s="20" t="s">
        <v>43</v>
      </c>
      <c r="F47" s="20" t="s">
        <v>52</v>
      </c>
      <c r="G47" s="20" t="str">
        <f>VLOOKUP(F47,'CUSTOMER INFO'!B6:D13,2,FALSE)</f>
        <v>MedEase</v>
      </c>
      <c r="H47" s="20" t="str">
        <f>VLOOKUP(Table1[[#This Row],[Customer ID]],'CUSTOMER INFO'!B6:D13,3,FALSE)</f>
        <v>Siddant Patil</v>
      </c>
      <c r="I47" s="20" t="s">
        <v>65</v>
      </c>
      <c r="J47" s="20" t="s">
        <v>91</v>
      </c>
      <c r="K47" s="19">
        <v>46297</v>
      </c>
      <c r="L47" s="20">
        <v>62</v>
      </c>
      <c r="M47" s="21">
        <v>95</v>
      </c>
      <c r="N47" s="22">
        <f t="shared" si="3"/>
        <v>5890</v>
      </c>
      <c r="O47" s="24" t="str">
        <f t="shared" si="0"/>
        <v>Y</v>
      </c>
      <c r="P47" s="21">
        <f t="shared" si="1"/>
        <v>5595.5</v>
      </c>
    </row>
    <row r="48" spans="1:16">
      <c r="A48" s="18">
        <v>145</v>
      </c>
      <c r="B48" s="19">
        <v>45427</v>
      </c>
      <c r="C48" s="20" t="str">
        <f t="shared" si="2"/>
        <v>May</v>
      </c>
      <c r="D48" s="20" t="s">
        <v>3</v>
      </c>
      <c r="E48" s="20" t="s">
        <v>47</v>
      </c>
      <c r="F48" s="20" t="s">
        <v>55</v>
      </c>
      <c r="G48" s="20" t="str">
        <f>VLOOKUP(F48,'CUSTOMER INFO'!B7:D14,2,FALSE)</f>
        <v>CityMed Pharmacy</v>
      </c>
      <c r="H48" s="20" t="str">
        <f>VLOOKUP(Table1[[#This Row],[Customer ID]],'CUSTOMER INFO'!B7:D14,3,FALSE)</f>
        <v>Vikram Shah</v>
      </c>
      <c r="I48" s="20" t="s">
        <v>67</v>
      </c>
      <c r="J48" s="20" t="s">
        <v>92</v>
      </c>
      <c r="K48" s="19">
        <v>46357</v>
      </c>
      <c r="L48" s="20">
        <v>32</v>
      </c>
      <c r="M48" s="21">
        <v>18</v>
      </c>
      <c r="N48" s="22">
        <f t="shared" si="3"/>
        <v>576</v>
      </c>
      <c r="O48" s="24" t="str">
        <f t="shared" si="0"/>
        <v>N</v>
      </c>
      <c r="P48" s="21">
        <f t="shared" si="1"/>
        <v>576</v>
      </c>
    </row>
    <row r="49" spans="1:16">
      <c r="A49" s="18">
        <v>146</v>
      </c>
      <c r="B49" s="19">
        <v>45428</v>
      </c>
      <c r="C49" s="20" t="str">
        <f t="shared" si="2"/>
        <v>May</v>
      </c>
      <c r="D49" s="20" t="s">
        <v>8</v>
      </c>
      <c r="E49" s="20" t="s">
        <v>51</v>
      </c>
      <c r="F49" s="20" t="s">
        <v>58</v>
      </c>
      <c r="G49" s="20" t="str">
        <f>VLOOKUP(F49,'CUSTOMER INFO'!B8:D15,2,FALSE)</f>
        <v>TrustCare Medicals</v>
      </c>
      <c r="H49" s="20" t="str">
        <f>VLOOKUP(Table1[[#This Row],[Customer ID]],'CUSTOMER INFO'!B8:D15,3,FALSE)</f>
        <v>Pooja Sharma</v>
      </c>
      <c r="I49" s="20" t="s">
        <v>41</v>
      </c>
      <c r="J49" s="20" t="s">
        <v>73</v>
      </c>
      <c r="K49" s="19">
        <v>46235</v>
      </c>
      <c r="L49" s="20">
        <v>65</v>
      </c>
      <c r="M49" s="21">
        <v>75</v>
      </c>
      <c r="N49" s="22">
        <f t="shared" si="3"/>
        <v>4875</v>
      </c>
      <c r="O49" s="24" t="str">
        <f t="shared" si="0"/>
        <v>Y</v>
      </c>
      <c r="P49" s="21">
        <f t="shared" si="1"/>
        <v>4631.25</v>
      </c>
    </row>
    <row r="50" spans="1:16">
      <c r="A50" s="18">
        <v>147</v>
      </c>
      <c r="B50" s="19">
        <v>45429</v>
      </c>
      <c r="C50" s="20" t="str">
        <f t="shared" si="2"/>
        <v>May</v>
      </c>
      <c r="D50" s="20" t="s">
        <v>5</v>
      </c>
      <c r="E50" s="20" t="s">
        <v>39</v>
      </c>
      <c r="F50" s="20" t="s">
        <v>61</v>
      </c>
      <c r="G50" s="20" t="str">
        <f>VLOOKUP(F50,'CUSTOMER INFO'!B9:D16,2,FALSE)</f>
        <v>Lifeline Medicals</v>
      </c>
      <c r="H50" s="20" t="str">
        <f>VLOOKUP(Table1[[#This Row],[Customer ID]],'CUSTOMER INFO'!B9:D16,3,FALSE)</f>
        <v>Harshal Singh</v>
      </c>
      <c r="I50" s="20" t="s">
        <v>45</v>
      </c>
      <c r="J50" s="20" t="s">
        <v>74</v>
      </c>
      <c r="K50" s="19">
        <v>45870</v>
      </c>
      <c r="L50" s="20">
        <v>48</v>
      </c>
      <c r="M50" s="21">
        <v>55</v>
      </c>
      <c r="N50" s="22">
        <f t="shared" si="3"/>
        <v>2640</v>
      </c>
      <c r="O50" s="24" t="str">
        <f t="shared" si="0"/>
        <v>N</v>
      </c>
      <c r="P50" s="21">
        <f t="shared" si="1"/>
        <v>2640</v>
      </c>
    </row>
    <row r="51" spans="1:16">
      <c r="A51" s="18">
        <v>148</v>
      </c>
      <c r="B51" s="19">
        <v>45430</v>
      </c>
      <c r="C51" s="20" t="str">
        <f t="shared" si="2"/>
        <v>May</v>
      </c>
      <c r="D51" s="20" t="s">
        <v>10</v>
      </c>
      <c r="E51" s="20" t="s">
        <v>43</v>
      </c>
      <c r="F51" s="20" t="s">
        <v>64</v>
      </c>
      <c r="G51" s="20" t="str">
        <f>VLOOKUP(F51,'CUSTOMER INFO'!B10:D17,2,FALSE)</f>
        <v>CarePlus Medical Store</v>
      </c>
      <c r="H51" s="20" t="str">
        <f>VLOOKUP(Table1[[#This Row],[Customer ID]],'CUSTOMER INFO'!B10:D17,3,FALSE)</f>
        <v>Riya Mishra</v>
      </c>
      <c r="I51" s="20" t="s">
        <v>49</v>
      </c>
      <c r="J51" s="20" t="s">
        <v>75</v>
      </c>
      <c r="K51" s="19">
        <v>46266</v>
      </c>
      <c r="L51" s="20">
        <v>54</v>
      </c>
      <c r="M51" s="21">
        <v>32</v>
      </c>
      <c r="N51" s="22">
        <f t="shared" si="3"/>
        <v>1728</v>
      </c>
      <c r="O51" s="24" t="str">
        <f t="shared" si="0"/>
        <v>N</v>
      </c>
      <c r="P51" s="21">
        <f t="shared" si="1"/>
        <v>1728</v>
      </c>
    </row>
    <row r="52" spans="1:16">
      <c r="A52" s="18">
        <v>149</v>
      </c>
      <c r="B52" s="19">
        <v>45431</v>
      </c>
      <c r="C52" s="20" t="str">
        <f t="shared" si="2"/>
        <v>May</v>
      </c>
      <c r="D52" s="20" t="s">
        <v>4</v>
      </c>
      <c r="E52" s="20" t="s">
        <v>47</v>
      </c>
      <c r="F52" s="20" t="s">
        <v>40</v>
      </c>
      <c r="G52" s="20" t="str">
        <f>VLOOKUP(F52,'CUSTOMER INFO'!B3:D10,2,FALSE)</f>
        <v>Shree Medical &amp; General Store</v>
      </c>
      <c r="H52" s="20" t="str">
        <f>VLOOKUP(Table1[[#This Row],[Customer ID]],'CUSTOMER INFO'!B3:D10,3,FALSE)</f>
        <v>Abhijeet Kulkarni</v>
      </c>
      <c r="I52" s="20" t="s">
        <v>53</v>
      </c>
      <c r="J52" s="20" t="s">
        <v>76</v>
      </c>
      <c r="K52" s="19">
        <v>46357</v>
      </c>
      <c r="L52" s="20">
        <v>25</v>
      </c>
      <c r="M52" s="21">
        <v>90</v>
      </c>
      <c r="N52" s="22">
        <f t="shared" si="3"/>
        <v>2250</v>
      </c>
      <c r="O52" s="24" t="str">
        <f t="shared" si="0"/>
        <v>N</v>
      </c>
      <c r="P52" s="21">
        <f t="shared" si="1"/>
        <v>2250</v>
      </c>
    </row>
    <row r="53" spans="1:16">
      <c r="A53" s="18">
        <v>150</v>
      </c>
      <c r="B53" s="19">
        <v>45432</v>
      </c>
      <c r="C53" s="20" t="str">
        <f t="shared" si="2"/>
        <v>May</v>
      </c>
      <c r="D53" s="20" t="s">
        <v>6</v>
      </c>
      <c r="E53" s="20" t="s">
        <v>51</v>
      </c>
      <c r="F53" s="20" t="s">
        <v>44</v>
      </c>
      <c r="G53" s="20" t="str">
        <f>VLOOKUP(F53,'CUSTOMER INFO'!B4:D11,2,FALSE)</f>
        <v>JeevanCare Medical Store</v>
      </c>
      <c r="H53" s="20" t="str">
        <f>VLOOKUP(Table1[[#This Row],[Customer ID]],'CUSTOMER INFO'!B4:D11,3,FALSE)</f>
        <v>Neha Patel</v>
      </c>
      <c r="I53" s="20" t="s">
        <v>56</v>
      </c>
      <c r="J53" s="20" t="s">
        <v>77</v>
      </c>
      <c r="K53" s="19">
        <v>46296</v>
      </c>
      <c r="L53" s="20">
        <v>35</v>
      </c>
      <c r="M53" s="21">
        <v>20</v>
      </c>
      <c r="N53" s="22">
        <f t="shared" si="3"/>
        <v>700</v>
      </c>
      <c r="O53" s="24" t="str">
        <f t="shared" si="0"/>
        <v>N</v>
      </c>
      <c r="P53" s="21">
        <f t="shared" si="1"/>
        <v>700</v>
      </c>
    </row>
    <row r="54" spans="1:16">
      <c r="A54" s="18">
        <v>151</v>
      </c>
      <c r="B54" s="19">
        <v>45433</v>
      </c>
      <c r="C54" s="20" t="str">
        <f t="shared" si="2"/>
        <v>May</v>
      </c>
      <c r="D54" s="20" t="s">
        <v>9</v>
      </c>
      <c r="E54" s="20" t="s">
        <v>39</v>
      </c>
      <c r="F54" s="20" t="s">
        <v>48</v>
      </c>
      <c r="G54" s="20" t="str">
        <f>VLOOKUP(F54,'CUSTOMER INFO'!B5:D12,2,FALSE)</f>
        <v>Arogya Medical &amp; General</v>
      </c>
      <c r="H54" s="20" t="str">
        <f>VLOOKUP(Table1[[#This Row],[Customer ID]],'CUSTOMER INFO'!B5:D12,3,FALSE)</f>
        <v>Hrishkesh Jadhv</v>
      </c>
      <c r="I54" s="20" t="s">
        <v>59</v>
      </c>
      <c r="J54" s="20" t="s">
        <v>78</v>
      </c>
      <c r="K54" s="19">
        <v>46083</v>
      </c>
      <c r="L54" s="20">
        <v>38</v>
      </c>
      <c r="M54" s="21">
        <v>35</v>
      </c>
      <c r="N54" s="22">
        <f t="shared" si="3"/>
        <v>1330</v>
      </c>
      <c r="O54" s="24" t="str">
        <f t="shared" si="0"/>
        <v>N</v>
      </c>
      <c r="P54" s="21">
        <f t="shared" si="1"/>
        <v>1330</v>
      </c>
    </row>
    <row r="55" spans="1:16">
      <c r="A55" s="18">
        <v>152</v>
      </c>
      <c r="B55" s="19">
        <v>45434</v>
      </c>
      <c r="C55" s="20" t="str">
        <f t="shared" si="2"/>
        <v>May</v>
      </c>
      <c r="D55" s="20" t="s">
        <v>9</v>
      </c>
      <c r="E55" s="20" t="s">
        <v>43</v>
      </c>
      <c r="F55" s="20" t="s">
        <v>52</v>
      </c>
      <c r="G55" s="20" t="str">
        <f>VLOOKUP(F55,'CUSTOMER INFO'!B6:D13,2,FALSE)</f>
        <v>MedEase</v>
      </c>
      <c r="H55" s="20" t="str">
        <f>VLOOKUP(Table1[[#This Row],[Customer ID]],'CUSTOMER INFO'!B6:D13,3,FALSE)</f>
        <v>Siddant Patil</v>
      </c>
      <c r="I55" s="20" t="s">
        <v>62</v>
      </c>
      <c r="J55" s="20" t="s">
        <v>79</v>
      </c>
      <c r="K55" s="19">
        <v>46381</v>
      </c>
      <c r="L55" s="20">
        <v>28</v>
      </c>
      <c r="M55" s="21">
        <v>42</v>
      </c>
      <c r="N55" s="22">
        <f t="shared" si="3"/>
        <v>1176</v>
      </c>
      <c r="O55" s="24" t="str">
        <f t="shared" si="0"/>
        <v>N</v>
      </c>
      <c r="P55" s="21">
        <f t="shared" si="1"/>
        <v>1176</v>
      </c>
    </row>
    <row r="56" spans="1:16">
      <c r="A56" s="18">
        <v>153</v>
      </c>
      <c r="B56" s="19">
        <v>45435</v>
      </c>
      <c r="C56" s="20" t="str">
        <f t="shared" si="2"/>
        <v>May</v>
      </c>
      <c r="D56" s="20" t="s">
        <v>7</v>
      </c>
      <c r="E56" s="20" t="s">
        <v>47</v>
      </c>
      <c r="F56" s="20" t="s">
        <v>55</v>
      </c>
      <c r="G56" s="20" t="str">
        <f>VLOOKUP(F56,'CUSTOMER INFO'!B7:D14,2,FALSE)</f>
        <v>CityMed Pharmacy</v>
      </c>
      <c r="H56" s="20" t="str">
        <f>VLOOKUP(Table1[[#This Row],[Customer ID]],'CUSTOMER INFO'!B7:D14,3,FALSE)</f>
        <v>Vikram Shah</v>
      </c>
      <c r="I56" s="20" t="s">
        <v>65</v>
      </c>
      <c r="J56" s="20" t="s">
        <v>80</v>
      </c>
      <c r="K56" s="19">
        <v>46115</v>
      </c>
      <c r="L56" s="20">
        <v>54</v>
      </c>
      <c r="M56" s="21">
        <v>22</v>
      </c>
      <c r="N56" s="22">
        <f t="shared" si="3"/>
        <v>1188</v>
      </c>
      <c r="O56" s="24" t="str">
        <f t="shared" si="0"/>
        <v>N</v>
      </c>
      <c r="P56" s="21">
        <f t="shared" si="1"/>
        <v>1188</v>
      </c>
    </row>
    <row r="57" spans="1:16">
      <c r="A57" s="18">
        <v>154</v>
      </c>
      <c r="B57" s="19">
        <v>45436</v>
      </c>
      <c r="C57" s="20" t="str">
        <f t="shared" si="2"/>
        <v>May</v>
      </c>
      <c r="D57" s="20" t="s">
        <v>3</v>
      </c>
      <c r="E57" s="20" t="s">
        <v>51</v>
      </c>
      <c r="F57" s="20" t="s">
        <v>58</v>
      </c>
      <c r="G57" s="20" t="str">
        <f>VLOOKUP(F57,'CUSTOMER INFO'!B8:D15,2,FALSE)</f>
        <v>TrustCare Medicals</v>
      </c>
      <c r="H57" s="20" t="str">
        <f>VLOOKUP(Table1[[#This Row],[Customer ID]],'CUSTOMER INFO'!B8:D15,3,FALSE)</f>
        <v>Pooja Sharma</v>
      </c>
      <c r="I57" s="20" t="s">
        <v>67</v>
      </c>
      <c r="J57" s="20" t="s">
        <v>81</v>
      </c>
      <c r="K57" s="19">
        <v>46178</v>
      </c>
      <c r="L57" s="20">
        <v>35</v>
      </c>
      <c r="M57" s="21">
        <v>48</v>
      </c>
      <c r="N57" s="22">
        <f t="shared" si="3"/>
        <v>1680</v>
      </c>
      <c r="O57" s="24" t="str">
        <f t="shared" si="0"/>
        <v>N</v>
      </c>
      <c r="P57" s="21">
        <f t="shared" si="1"/>
        <v>1680</v>
      </c>
    </row>
    <row r="58" spans="1:16">
      <c r="A58" s="18">
        <v>155</v>
      </c>
      <c r="B58" s="19">
        <v>45437</v>
      </c>
      <c r="C58" s="20" t="str">
        <f t="shared" si="2"/>
        <v>May</v>
      </c>
      <c r="D58" s="20" t="s">
        <v>8</v>
      </c>
      <c r="E58" s="20" t="s">
        <v>39</v>
      </c>
      <c r="F58" s="20" t="s">
        <v>61</v>
      </c>
      <c r="G58" s="20" t="str">
        <f>VLOOKUP(F58,'CUSTOMER INFO'!B9:D16,2,FALSE)</f>
        <v>Lifeline Medicals</v>
      </c>
      <c r="H58" s="20" t="str">
        <f>VLOOKUP(Table1[[#This Row],[Customer ID]],'CUSTOMER INFO'!B9:D16,3,FALSE)</f>
        <v>Harshal Singh</v>
      </c>
      <c r="I58" s="20" t="s">
        <v>69</v>
      </c>
      <c r="J58" s="20" t="s">
        <v>82</v>
      </c>
      <c r="K58" s="19">
        <v>46297</v>
      </c>
      <c r="L58" s="20">
        <v>45</v>
      </c>
      <c r="M58" s="21">
        <v>95</v>
      </c>
      <c r="N58" s="22">
        <f t="shared" si="3"/>
        <v>4275</v>
      </c>
      <c r="O58" s="24" t="str">
        <f t="shared" si="0"/>
        <v>N</v>
      </c>
      <c r="P58" s="21">
        <f t="shared" si="1"/>
        <v>4275</v>
      </c>
    </row>
    <row r="59" spans="1:16">
      <c r="A59" s="18">
        <v>156</v>
      </c>
      <c r="B59" s="19">
        <v>45438</v>
      </c>
      <c r="C59" s="20" t="str">
        <f t="shared" si="2"/>
        <v>May</v>
      </c>
      <c r="D59" s="20" t="s">
        <v>5</v>
      </c>
      <c r="E59" s="20" t="s">
        <v>43</v>
      </c>
      <c r="F59" s="20" t="s">
        <v>64</v>
      </c>
      <c r="G59" s="20" t="str">
        <f>VLOOKUP(F59,'CUSTOMER INFO'!B10:D17,2,FALSE)</f>
        <v>CarePlus Medical Store</v>
      </c>
      <c r="H59" s="20" t="str">
        <f>VLOOKUP(Table1[[#This Row],[Customer ID]],'CUSTOMER INFO'!B10:D17,3,FALSE)</f>
        <v>Riya Mishra</v>
      </c>
      <c r="I59" s="20" t="s">
        <v>71</v>
      </c>
      <c r="J59" s="20" t="s">
        <v>83</v>
      </c>
      <c r="K59" s="19">
        <v>46357</v>
      </c>
      <c r="L59" s="20">
        <v>25</v>
      </c>
      <c r="M59" s="21">
        <v>18</v>
      </c>
      <c r="N59" s="22">
        <f t="shared" si="3"/>
        <v>450</v>
      </c>
      <c r="O59" s="24" t="str">
        <f t="shared" si="0"/>
        <v>N</v>
      </c>
      <c r="P59" s="21">
        <f t="shared" si="1"/>
        <v>450</v>
      </c>
    </row>
    <row r="60" spans="1:16" ht="16.5" customHeight="1">
      <c r="A60" s="18">
        <v>157</v>
      </c>
      <c r="B60" s="19">
        <v>45439</v>
      </c>
      <c r="C60" s="20" t="str">
        <f t="shared" si="2"/>
        <v>May</v>
      </c>
      <c r="D60" s="20" t="s">
        <v>10</v>
      </c>
      <c r="E60" s="20" t="s">
        <v>39</v>
      </c>
      <c r="F60" s="20" t="s">
        <v>40</v>
      </c>
      <c r="G60" s="20" t="str">
        <f>VLOOKUP(Table1[[#This Row],[Customer ID]],'CUSTOMER INFO'!B3:D10,2,FALSE)</f>
        <v>Shree Medical &amp; General Store</v>
      </c>
      <c r="H60" s="20" t="str">
        <f>VLOOKUP(Table1[[#This Row],[Customer ID]],'CUSTOMER INFO'!B3:D10,3,FALSE)</f>
        <v>Abhijeet Kulkarni</v>
      </c>
      <c r="I60" s="20" t="s">
        <v>41</v>
      </c>
      <c r="J60" s="20" t="s">
        <v>84</v>
      </c>
      <c r="K60" s="19">
        <v>46235</v>
      </c>
      <c r="L60" s="20">
        <v>35</v>
      </c>
      <c r="M60" s="21">
        <v>75</v>
      </c>
      <c r="N60" s="22">
        <f t="shared" si="3"/>
        <v>2625</v>
      </c>
      <c r="O60" s="24" t="str">
        <f t="shared" si="0"/>
        <v>N</v>
      </c>
      <c r="P60" s="21">
        <f t="shared" si="1"/>
        <v>2625</v>
      </c>
    </row>
    <row r="61" spans="1:16">
      <c r="A61" s="18">
        <v>158</v>
      </c>
      <c r="B61" s="19">
        <v>45440</v>
      </c>
      <c r="C61" s="20" t="str">
        <f t="shared" si="2"/>
        <v>May</v>
      </c>
      <c r="D61" s="20" t="s">
        <v>4</v>
      </c>
      <c r="E61" s="20" t="s">
        <v>43</v>
      </c>
      <c r="F61" s="20" t="s">
        <v>44</v>
      </c>
      <c r="G61" s="20" t="str">
        <f>VLOOKUP(Table1[[#This Row],[Customer ID]],'CUSTOMER INFO'!B4:D11,2,FALSE)</f>
        <v>JeevanCare Medical Store</v>
      </c>
      <c r="H61" s="20" t="str">
        <f>VLOOKUP(Table1[[#This Row],[Customer ID]],'CUSTOMER INFO'!B4:D11,3,FALSE)</f>
        <v>Neha Patel</v>
      </c>
      <c r="I61" s="20" t="s">
        <v>45</v>
      </c>
      <c r="J61" s="20" t="s">
        <v>85</v>
      </c>
      <c r="K61" s="19">
        <v>45870</v>
      </c>
      <c r="L61" s="20">
        <v>22</v>
      </c>
      <c r="M61" s="21">
        <v>55</v>
      </c>
      <c r="N61" s="22">
        <f t="shared" si="3"/>
        <v>1210</v>
      </c>
      <c r="O61" s="24" t="str">
        <f t="shared" si="0"/>
        <v>N</v>
      </c>
      <c r="P61" s="21">
        <f t="shared" si="1"/>
        <v>1210</v>
      </c>
    </row>
    <row r="62" spans="1:16">
      <c r="A62" s="18">
        <v>159</v>
      </c>
      <c r="B62" s="19">
        <v>45441</v>
      </c>
      <c r="C62" s="20" t="str">
        <f t="shared" si="2"/>
        <v>May</v>
      </c>
      <c r="D62" s="20" t="s">
        <v>6</v>
      </c>
      <c r="E62" s="20" t="s">
        <v>47</v>
      </c>
      <c r="F62" s="20" t="s">
        <v>48</v>
      </c>
      <c r="G62" s="20" t="str">
        <f>VLOOKUP(Table1[[#This Row],[Customer ID]],'CUSTOMER INFO'!B5:D12,2,FALSE)</f>
        <v>Arogya Medical &amp; General</v>
      </c>
      <c r="H62" s="20" t="str">
        <f>VLOOKUP(Table1[[#This Row],[Customer ID]],'CUSTOMER INFO'!B5:D12,3,FALSE)</f>
        <v>Hrishkesh Jadhv</v>
      </c>
      <c r="I62" s="20" t="s">
        <v>49</v>
      </c>
      <c r="J62" s="20" t="s">
        <v>86</v>
      </c>
      <c r="K62" s="19">
        <v>46266</v>
      </c>
      <c r="L62" s="20">
        <v>62</v>
      </c>
      <c r="M62" s="21">
        <v>32</v>
      </c>
      <c r="N62" s="22">
        <f t="shared" si="3"/>
        <v>1984</v>
      </c>
      <c r="O62" s="24" t="str">
        <f t="shared" si="0"/>
        <v>Y</v>
      </c>
      <c r="P62" s="21">
        <f t="shared" si="1"/>
        <v>1884.8</v>
      </c>
    </row>
    <row r="63" spans="1:16">
      <c r="A63" s="18">
        <v>160</v>
      </c>
      <c r="B63" s="19">
        <v>45442</v>
      </c>
      <c r="C63" s="20" t="str">
        <f t="shared" si="2"/>
        <v>May</v>
      </c>
      <c r="D63" s="20" t="s">
        <v>9</v>
      </c>
      <c r="E63" s="20" t="s">
        <v>51</v>
      </c>
      <c r="F63" s="20" t="s">
        <v>52</v>
      </c>
      <c r="G63" s="20" t="str">
        <f>VLOOKUP(Table1[[#This Row],[Customer ID]],'CUSTOMER INFO'!B6:D13,2,FALSE)</f>
        <v>MedEase</v>
      </c>
      <c r="H63" s="20" t="str">
        <f>VLOOKUP(Table1[[#This Row],[Customer ID]],'CUSTOMER INFO'!B6:D13,3,FALSE)</f>
        <v>Siddant Patil</v>
      </c>
      <c r="I63" s="20" t="s">
        <v>53</v>
      </c>
      <c r="J63" s="20" t="s">
        <v>87</v>
      </c>
      <c r="K63" s="19">
        <v>46357</v>
      </c>
      <c r="L63" s="20">
        <v>32</v>
      </c>
      <c r="M63" s="21">
        <v>90</v>
      </c>
      <c r="N63" s="22">
        <f t="shared" si="3"/>
        <v>2880</v>
      </c>
      <c r="O63" s="24" t="str">
        <f t="shared" si="0"/>
        <v>N</v>
      </c>
      <c r="P63" s="21">
        <f t="shared" si="1"/>
        <v>2880</v>
      </c>
    </row>
    <row r="64" spans="1:16">
      <c r="A64" s="18">
        <v>161</v>
      </c>
      <c r="B64" s="19">
        <v>45443</v>
      </c>
      <c r="C64" s="20" t="str">
        <f t="shared" si="2"/>
        <v>May</v>
      </c>
      <c r="D64" s="20" t="s">
        <v>7</v>
      </c>
      <c r="E64" s="20" t="s">
        <v>39</v>
      </c>
      <c r="F64" s="20" t="s">
        <v>55</v>
      </c>
      <c r="G64" s="20" t="str">
        <f>VLOOKUP(Table1[[#This Row],[Customer ID]],'CUSTOMER INFO'!B7:D14,2,FALSE)</f>
        <v>CityMed Pharmacy</v>
      </c>
      <c r="H64" s="20" t="str">
        <f>VLOOKUP(Table1[[#This Row],[Customer ID]],'CUSTOMER INFO'!B7:D14,3,FALSE)</f>
        <v>Vikram Shah</v>
      </c>
      <c r="I64" s="20" t="s">
        <v>56</v>
      </c>
      <c r="J64" s="20" t="s">
        <v>88</v>
      </c>
      <c r="K64" s="19">
        <v>46296</v>
      </c>
      <c r="L64" s="20">
        <v>65</v>
      </c>
      <c r="M64" s="21">
        <v>20</v>
      </c>
      <c r="N64" s="22">
        <f t="shared" si="3"/>
        <v>1300</v>
      </c>
      <c r="O64" s="24" t="str">
        <f t="shared" si="0"/>
        <v>Y</v>
      </c>
      <c r="P64" s="21">
        <f t="shared" si="1"/>
        <v>1235</v>
      </c>
    </row>
    <row r="65" spans="1:16">
      <c r="A65" s="18">
        <v>162</v>
      </c>
      <c r="B65" s="19">
        <v>45444</v>
      </c>
      <c r="C65" s="20" t="str">
        <f t="shared" si="2"/>
        <v>Jun</v>
      </c>
      <c r="D65" s="20" t="s">
        <v>3</v>
      </c>
      <c r="E65" s="20" t="s">
        <v>43</v>
      </c>
      <c r="F65" s="20" t="s">
        <v>58</v>
      </c>
      <c r="G65" s="20" t="str">
        <f>VLOOKUP(Table1[[#This Row],[Customer ID]],'CUSTOMER INFO'!B8:D15,2,FALSE)</f>
        <v>TrustCare Medicals</v>
      </c>
      <c r="H65" s="20" t="str">
        <f>VLOOKUP(Table1[[#This Row],[Customer ID]],'CUSTOMER INFO'!B8:D15,3,FALSE)</f>
        <v>Pooja Sharma</v>
      </c>
      <c r="I65" s="20" t="s">
        <v>59</v>
      </c>
      <c r="J65" s="20" t="s">
        <v>89</v>
      </c>
      <c r="K65" s="19">
        <v>46083</v>
      </c>
      <c r="L65" s="20">
        <v>48</v>
      </c>
      <c r="M65" s="21">
        <v>35</v>
      </c>
      <c r="N65" s="22">
        <f t="shared" si="3"/>
        <v>1680</v>
      </c>
      <c r="O65" s="24" t="str">
        <f t="shared" si="0"/>
        <v>N</v>
      </c>
      <c r="P65" s="21">
        <f t="shared" si="1"/>
        <v>1680</v>
      </c>
    </row>
    <row r="66" spans="1:16">
      <c r="A66" s="18">
        <v>163</v>
      </c>
      <c r="B66" s="19">
        <v>45445</v>
      </c>
      <c r="C66" s="20" t="str">
        <f t="shared" si="2"/>
        <v>Jun</v>
      </c>
      <c r="D66" s="20" t="s">
        <v>8</v>
      </c>
      <c r="E66" s="20" t="s">
        <v>47</v>
      </c>
      <c r="F66" s="20" t="s">
        <v>61</v>
      </c>
      <c r="G66" s="20" t="str">
        <f>VLOOKUP(Table1[[#This Row],[Customer ID]],'CUSTOMER INFO'!B9:D16,2,FALSE)</f>
        <v>Lifeline Medicals</v>
      </c>
      <c r="H66" s="20" t="str">
        <f>VLOOKUP(Table1[[#This Row],[Customer ID]],'CUSTOMER INFO'!B9:D16,3,FALSE)</f>
        <v>Harshal Singh</v>
      </c>
      <c r="I66" s="20" t="s">
        <v>62</v>
      </c>
      <c r="J66" s="20" t="s">
        <v>90</v>
      </c>
      <c r="K66" s="19">
        <v>46381</v>
      </c>
      <c r="L66" s="20">
        <v>54</v>
      </c>
      <c r="M66" s="21">
        <v>42</v>
      </c>
      <c r="N66" s="22">
        <f t="shared" si="3"/>
        <v>2268</v>
      </c>
      <c r="O66" s="24" t="str">
        <f t="shared" si="0"/>
        <v>N</v>
      </c>
      <c r="P66" s="21">
        <f t="shared" si="1"/>
        <v>2268</v>
      </c>
    </row>
    <row r="67" spans="1:16">
      <c r="A67" s="18">
        <v>164</v>
      </c>
      <c r="B67" s="19">
        <v>45446</v>
      </c>
      <c r="C67" s="20" t="str">
        <f t="shared" si="2"/>
        <v>Jun</v>
      </c>
      <c r="D67" s="20" t="s">
        <v>5</v>
      </c>
      <c r="E67" s="20" t="s">
        <v>51</v>
      </c>
      <c r="F67" s="20" t="s">
        <v>64</v>
      </c>
      <c r="G67" s="20" t="str">
        <f>VLOOKUP(Table1[[#This Row],[Customer ID]],'CUSTOMER INFO'!B10:D17,2,FALSE)</f>
        <v>CarePlus Medical Store</v>
      </c>
      <c r="H67" s="20" t="str">
        <f>VLOOKUP(Table1[[#This Row],[Customer ID]],'CUSTOMER INFO'!B10:D17,3,FALSE)</f>
        <v>Riya Mishra</v>
      </c>
      <c r="I67" s="20" t="s">
        <v>41</v>
      </c>
      <c r="J67" s="20" t="s">
        <v>84</v>
      </c>
      <c r="K67" s="19">
        <v>46115</v>
      </c>
      <c r="L67" s="20">
        <v>25</v>
      </c>
      <c r="M67" s="21">
        <v>22</v>
      </c>
      <c r="N67" s="22">
        <f t="shared" si="3"/>
        <v>550</v>
      </c>
      <c r="O67" s="24" t="str">
        <f t="shared" si="0"/>
        <v>N</v>
      </c>
      <c r="P67" s="21">
        <f t="shared" si="1"/>
        <v>550</v>
      </c>
    </row>
    <row r="68" spans="1:16">
      <c r="A68" s="18">
        <v>165</v>
      </c>
      <c r="B68" s="19">
        <v>45447</v>
      </c>
      <c r="C68" s="20" t="str">
        <f t="shared" si="2"/>
        <v>Jun</v>
      </c>
      <c r="D68" s="20" t="s">
        <v>10</v>
      </c>
      <c r="E68" s="20" t="s">
        <v>39</v>
      </c>
      <c r="F68" s="20" t="s">
        <v>40</v>
      </c>
      <c r="G68" s="20" t="str">
        <f>VLOOKUP(Table1[[#This Row],[Customer ID]],'CUSTOMER INFO'!B3:D10,2,FALSE)</f>
        <v>Shree Medical &amp; General Store</v>
      </c>
      <c r="H68" s="20" t="str">
        <f>VLOOKUP(Table1[[#This Row],[Customer ID]],'CUSTOMER INFO'!B3:D10,3,FALSE)</f>
        <v>Abhijeet Kulkarni</v>
      </c>
      <c r="I68" s="20" t="s">
        <v>45</v>
      </c>
      <c r="J68" s="20" t="s">
        <v>85</v>
      </c>
      <c r="K68" s="19">
        <v>46178</v>
      </c>
      <c r="L68" s="20">
        <v>35</v>
      </c>
      <c r="M68" s="21">
        <v>48</v>
      </c>
      <c r="N68" s="22">
        <f t="shared" si="3"/>
        <v>1680</v>
      </c>
      <c r="O68" s="24" t="str">
        <f t="shared" ref="O68:O131" si="4">IF(L68&gt;=60,"Y","N")</f>
        <v>N</v>
      </c>
      <c r="P68" s="21">
        <f t="shared" ref="P68:P131" si="5">IF(L68&gt;=60,0.95*N68,N68)</f>
        <v>1680</v>
      </c>
    </row>
    <row r="69" spans="1:16">
      <c r="A69" s="18">
        <v>166</v>
      </c>
      <c r="B69" s="19">
        <v>45448</v>
      </c>
      <c r="C69" s="20" t="str">
        <f t="shared" ref="C69:C132" si="6">TEXT(B69,"mmm")</f>
        <v>Jun</v>
      </c>
      <c r="D69" s="20" t="s">
        <v>4</v>
      </c>
      <c r="E69" s="20" t="s">
        <v>43</v>
      </c>
      <c r="F69" s="20" t="s">
        <v>44</v>
      </c>
      <c r="G69" s="20" t="str">
        <f>VLOOKUP(Table1[[#This Row],[Customer ID]],'CUSTOMER INFO'!B4:D11,2,FALSE)</f>
        <v>JeevanCare Medical Store</v>
      </c>
      <c r="H69" s="20" t="str">
        <f>VLOOKUP(Table1[[#This Row],[Customer ID]],'CUSTOMER INFO'!B4:D11,3,FALSE)</f>
        <v>Neha Patel</v>
      </c>
      <c r="I69" s="20" t="s">
        <v>49</v>
      </c>
      <c r="J69" s="20" t="s">
        <v>86</v>
      </c>
      <c r="K69" s="19">
        <v>46297</v>
      </c>
      <c r="L69" s="20">
        <v>38</v>
      </c>
      <c r="M69" s="21">
        <v>95</v>
      </c>
      <c r="N69" s="22">
        <f t="shared" ref="N69:N132" si="7">L69*M69</f>
        <v>3610</v>
      </c>
      <c r="O69" s="24" t="str">
        <f t="shared" si="4"/>
        <v>N</v>
      </c>
      <c r="P69" s="21">
        <f t="shared" si="5"/>
        <v>3610</v>
      </c>
    </row>
    <row r="70" spans="1:16">
      <c r="A70" s="18">
        <v>167</v>
      </c>
      <c r="B70" s="19">
        <v>45449</v>
      </c>
      <c r="C70" s="20" t="str">
        <f t="shared" si="6"/>
        <v>Jun</v>
      </c>
      <c r="D70" s="20" t="s">
        <v>6</v>
      </c>
      <c r="E70" s="20" t="s">
        <v>47</v>
      </c>
      <c r="F70" s="20" t="s">
        <v>48</v>
      </c>
      <c r="G70" s="20" t="str">
        <f>VLOOKUP(Table1[[#This Row],[Customer ID]],'CUSTOMER INFO'!B5:D12,2,FALSE)</f>
        <v>Arogya Medical &amp; General</v>
      </c>
      <c r="H70" s="20" t="str">
        <f>VLOOKUP(Table1[[#This Row],[Customer ID]],'CUSTOMER INFO'!B5:D12,3,FALSE)</f>
        <v>Hrishkesh Jadhv</v>
      </c>
      <c r="I70" s="20" t="s">
        <v>53</v>
      </c>
      <c r="J70" s="20" t="s">
        <v>87</v>
      </c>
      <c r="K70" s="19">
        <v>46357</v>
      </c>
      <c r="L70" s="20">
        <v>28</v>
      </c>
      <c r="M70" s="21">
        <v>18</v>
      </c>
      <c r="N70" s="22">
        <f t="shared" si="7"/>
        <v>504</v>
      </c>
      <c r="O70" s="24" t="str">
        <f t="shared" si="4"/>
        <v>N</v>
      </c>
      <c r="P70" s="21">
        <f t="shared" si="5"/>
        <v>504</v>
      </c>
    </row>
    <row r="71" spans="1:16">
      <c r="A71" s="18">
        <v>168</v>
      </c>
      <c r="B71" s="19">
        <v>45450</v>
      </c>
      <c r="C71" s="20" t="str">
        <f t="shared" si="6"/>
        <v>Jun</v>
      </c>
      <c r="D71" s="20" t="s">
        <v>9</v>
      </c>
      <c r="E71" s="20" t="s">
        <v>51</v>
      </c>
      <c r="F71" s="20" t="s">
        <v>52</v>
      </c>
      <c r="G71" s="20" t="str">
        <f>VLOOKUP(Table1[[#This Row],[Customer ID]],'CUSTOMER INFO'!B6:D13,2,FALSE)</f>
        <v>MedEase</v>
      </c>
      <c r="H71" s="20" t="str">
        <f>VLOOKUP(Table1[[#This Row],[Customer ID]],'CUSTOMER INFO'!B6:D13,3,FALSE)</f>
        <v>Siddant Patil</v>
      </c>
      <c r="I71" s="20" t="s">
        <v>56</v>
      </c>
      <c r="J71" s="20" t="s">
        <v>88</v>
      </c>
      <c r="K71" s="19">
        <v>46235</v>
      </c>
      <c r="L71" s="20">
        <v>54</v>
      </c>
      <c r="M71" s="21">
        <v>75</v>
      </c>
      <c r="N71" s="22">
        <f t="shared" si="7"/>
        <v>4050</v>
      </c>
      <c r="O71" s="24" t="str">
        <f t="shared" si="4"/>
        <v>N</v>
      </c>
      <c r="P71" s="21">
        <f t="shared" si="5"/>
        <v>4050</v>
      </c>
    </row>
    <row r="72" spans="1:16">
      <c r="A72" s="18">
        <v>169</v>
      </c>
      <c r="B72" s="19">
        <v>45451</v>
      </c>
      <c r="C72" s="20" t="str">
        <f t="shared" si="6"/>
        <v>Jun</v>
      </c>
      <c r="D72" s="20" t="s">
        <v>9</v>
      </c>
      <c r="E72" s="20" t="s">
        <v>39</v>
      </c>
      <c r="F72" s="20" t="s">
        <v>55</v>
      </c>
      <c r="G72" s="20" t="str">
        <f>VLOOKUP(Table1[[#This Row],[Customer ID]],'CUSTOMER INFO'!B7:D14,2,FALSE)</f>
        <v>CityMed Pharmacy</v>
      </c>
      <c r="H72" s="20" t="str">
        <f>VLOOKUP(Table1[[#This Row],[Customer ID]],'CUSTOMER INFO'!B7:D14,3,FALSE)</f>
        <v>Vikram Shah</v>
      </c>
      <c r="I72" s="20" t="s">
        <v>59</v>
      </c>
      <c r="J72" s="20" t="s">
        <v>89</v>
      </c>
      <c r="K72" s="19">
        <v>45870</v>
      </c>
      <c r="L72" s="20">
        <v>35</v>
      </c>
      <c r="M72" s="21">
        <v>55</v>
      </c>
      <c r="N72" s="22">
        <f t="shared" si="7"/>
        <v>1925</v>
      </c>
      <c r="O72" s="24" t="str">
        <f t="shared" si="4"/>
        <v>N</v>
      </c>
      <c r="P72" s="21">
        <f t="shared" si="5"/>
        <v>1925</v>
      </c>
    </row>
    <row r="73" spans="1:16">
      <c r="A73" s="18">
        <v>170</v>
      </c>
      <c r="B73" s="19">
        <v>45452</v>
      </c>
      <c r="C73" s="20" t="str">
        <f t="shared" si="6"/>
        <v>Jun</v>
      </c>
      <c r="D73" s="20" t="s">
        <v>7</v>
      </c>
      <c r="E73" s="20" t="s">
        <v>43</v>
      </c>
      <c r="F73" s="20" t="s">
        <v>58</v>
      </c>
      <c r="G73" s="20" t="str">
        <f>VLOOKUP(Table1[[#This Row],[Customer ID]],'CUSTOMER INFO'!B8:D15,2,FALSE)</f>
        <v>TrustCare Medicals</v>
      </c>
      <c r="H73" s="20" t="str">
        <f>VLOOKUP(Table1[[#This Row],[Customer ID]],'CUSTOMER INFO'!B8:D15,3,FALSE)</f>
        <v>Pooja Sharma</v>
      </c>
      <c r="I73" s="20" t="s">
        <v>62</v>
      </c>
      <c r="J73" s="20" t="s">
        <v>90</v>
      </c>
      <c r="K73" s="19">
        <v>46266</v>
      </c>
      <c r="L73" s="20">
        <v>45</v>
      </c>
      <c r="M73" s="21">
        <v>32</v>
      </c>
      <c r="N73" s="22">
        <f t="shared" si="7"/>
        <v>1440</v>
      </c>
      <c r="O73" s="24" t="str">
        <f t="shared" si="4"/>
        <v>N</v>
      </c>
      <c r="P73" s="21">
        <f t="shared" si="5"/>
        <v>1440</v>
      </c>
    </row>
    <row r="74" spans="1:16">
      <c r="A74" s="18">
        <v>171</v>
      </c>
      <c r="B74" s="19">
        <v>45453</v>
      </c>
      <c r="C74" s="20" t="str">
        <f t="shared" si="6"/>
        <v>Jun</v>
      </c>
      <c r="D74" s="20" t="s">
        <v>3</v>
      </c>
      <c r="E74" s="20" t="s">
        <v>39</v>
      </c>
      <c r="F74" s="20" t="s">
        <v>61</v>
      </c>
      <c r="G74" s="20" t="str">
        <f>VLOOKUP(Table1[[#This Row],[Customer ID]],'CUSTOMER INFO'!B9:D16,2,FALSE)</f>
        <v>Lifeline Medicals</v>
      </c>
      <c r="H74" s="20" t="str">
        <f>VLOOKUP(Table1[[#This Row],[Customer ID]],'CUSTOMER INFO'!B9:D16,3,FALSE)</f>
        <v>Harshal Singh</v>
      </c>
      <c r="I74" s="20" t="s">
        <v>65</v>
      </c>
      <c r="J74" s="20" t="s">
        <v>91</v>
      </c>
      <c r="K74" s="19">
        <v>46357</v>
      </c>
      <c r="L74" s="20">
        <v>25</v>
      </c>
      <c r="M74" s="21">
        <v>90</v>
      </c>
      <c r="N74" s="22">
        <f t="shared" si="7"/>
        <v>2250</v>
      </c>
      <c r="O74" s="24" t="str">
        <f t="shared" si="4"/>
        <v>N</v>
      </c>
      <c r="P74" s="21">
        <f t="shared" si="5"/>
        <v>2250</v>
      </c>
    </row>
    <row r="75" spans="1:16">
      <c r="A75" s="18">
        <v>172</v>
      </c>
      <c r="B75" s="19">
        <v>45454</v>
      </c>
      <c r="C75" s="20" t="str">
        <f t="shared" si="6"/>
        <v>Jun</v>
      </c>
      <c r="D75" s="20" t="s">
        <v>8</v>
      </c>
      <c r="E75" s="20" t="s">
        <v>43</v>
      </c>
      <c r="F75" s="20" t="s">
        <v>64</v>
      </c>
      <c r="G75" s="20" t="str">
        <f>VLOOKUP(Table1[[#This Row],[Customer ID]],'CUSTOMER INFO'!B10:D17,2,FALSE)</f>
        <v>CarePlus Medical Store</v>
      </c>
      <c r="H75" s="20" t="str">
        <f>VLOOKUP(Table1[[#This Row],[Customer ID]],'CUSTOMER INFO'!B10:D17,3,FALSE)</f>
        <v>Riya Mishra</v>
      </c>
      <c r="I75" s="20" t="s">
        <v>67</v>
      </c>
      <c r="J75" s="20" t="s">
        <v>92</v>
      </c>
      <c r="K75" s="19">
        <v>46296</v>
      </c>
      <c r="L75" s="20">
        <v>35</v>
      </c>
      <c r="M75" s="21">
        <v>20</v>
      </c>
      <c r="N75" s="22">
        <f t="shared" si="7"/>
        <v>700</v>
      </c>
      <c r="O75" s="24" t="str">
        <f t="shared" si="4"/>
        <v>N</v>
      </c>
      <c r="P75" s="21">
        <f t="shared" si="5"/>
        <v>700</v>
      </c>
    </row>
    <row r="76" spans="1:16">
      <c r="A76" s="18">
        <v>173</v>
      </c>
      <c r="B76" s="19">
        <v>45455</v>
      </c>
      <c r="C76" s="20" t="str">
        <f t="shared" si="6"/>
        <v>Jun</v>
      </c>
      <c r="D76" s="20" t="s">
        <v>5</v>
      </c>
      <c r="E76" s="20" t="s">
        <v>47</v>
      </c>
      <c r="F76" s="20" t="s">
        <v>40</v>
      </c>
      <c r="G76" s="20" t="str">
        <f>VLOOKUP(Table1[[#This Row],[Customer ID]],'CUSTOMER INFO'!B3:D10,2,FALSE)</f>
        <v>Shree Medical &amp; General Store</v>
      </c>
      <c r="H76" s="20" t="str">
        <f>VLOOKUP(Table1[[#This Row],[Customer ID]],'CUSTOMER INFO'!B3:D10,3,FALSE)</f>
        <v>Abhijeet Kulkarni</v>
      </c>
      <c r="I76" s="20" t="s">
        <v>69</v>
      </c>
      <c r="J76" s="20" t="s">
        <v>93</v>
      </c>
      <c r="K76" s="19">
        <v>46083</v>
      </c>
      <c r="L76" s="20">
        <v>22</v>
      </c>
      <c r="M76" s="21">
        <v>35</v>
      </c>
      <c r="N76" s="22">
        <f t="shared" si="7"/>
        <v>770</v>
      </c>
      <c r="O76" s="24" t="str">
        <f t="shared" si="4"/>
        <v>N</v>
      </c>
      <c r="P76" s="21">
        <f t="shared" si="5"/>
        <v>770</v>
      </c>
    </row>
    <row r="77" spans="1:16">
      <c r="A77" s="18">
        <v>174</v>
      </c>
      <c r="B77" s="19">
        <v>45456</v>
      </c>
      <c r="C77" s="20" t="str">
        <f t="shared" si="6"/>
        <v>Jun</v>
      </c>
      <c r="D77" s="20" t="s">
        <v>10</v>
      </c>
      <c r="E77" s="20" t="s">
        <v>51</v>
      </c>
      <c r="F77" s="20" t="s">
        <v>44</v>
      </c>
      <c r="G77" s="20" t="str">
        <f>VLOOKUP(Table1[[#This Row],[Customer ID]],'CUSTOMER INFO'!B4:D11,2,FALSE)</f>
        <v>JeevanCare Medical Store</v>
      </c>
      <c r="H77" s="20" t="str">
        <f>VLOOKUP(Table1[[#This Row],[Customer ID]],'CUSTOMER INFO'!B4:D11,3,FALSE)</f>
        <v>Neha Patel</v>
      </c>
      <c r="I77" s="20" t="s">
        <v>71</v>
      </c>
      <c r="J77" s="20" t="s">
        <v>94</v>
      </c>
      <c r="K77" s="19">
        <v>46381</v>
      </c>
      <c r="L77" s="20">
        <v>62</v>
      </c>
      <c r="M77" s="21">
        <v>42</v>
      </c>
      <c r="N77" s="22">
        <f t="shared" si="7"/>
        <v>2604</v>
      </c>
      <c r="O77" s="24" t="str">
        <f t="shared" si="4"/>
        <v>Y</v>
      </c>
      <c r="P77" s="21">
        <f t="shared" si="5"/>
        <v>2473.7999999999997</v>
      </c>
    </row>
    <row r="78" spans="1:16">
      <c r="A78" s="18">
        <v>175</v>
      </c>
      <c r="B78" s="19">
        <v>45457</v>
      </c>
      <c r="C78" s="20" t="str">
        <f t="shared" si="6"/>
        <v>Jun</v>
      </c>
      <c r="D78" s="20" t="s">
        <v>4</v>
      </c>
      <c r="E78" s="20" t="s">
        <v>39</v>
      </c>
      <c r="F78" s="20" t="s">
        <v>48</v>
      </c>
      <c r="G78" s="20" t="str">
        <f>VLOOKUP(Table1[[#This Row],[Customer ID]],'CUSTOMER INFO'!B5:D12,2,FALSE)</f>
        <v>Arogya Medical &amp; General</v>
      </c>
      <c r="H78" s="20" t="str">
        <f>VLOOKUP(Table1[[#This Row],[Customer ID]],'CUSTOMER INFO'!B5:D12,3,FALSE)</f>
        <v>Hrishkesh Jadhv</v>
      </c>
      <c r="I78" s="20" t="s">
        <v>41</v>
      </c>
      <c r="J78" s="20" t="s">
        <v>95</v>
      </c>
      <c r="K78" s="19">
        <v>46115</v>
      </c>
      <c r="L78" s="20">
        <v>32</v>
      </c>
      <c r="M78" s="21">
        <v>22</v>
      </c>
      <c r="N78" s="22">
        <f t="shared" si="7"/>
        <v>704</v>
      </c>
      <c r="O78" s="24" t="str">
        <f t="shared" si="4"/>
        <v>N</v>
      </c>
      <c r="P78" s="21">
        <f t="shared" si="5"/>
        <v>704</v>
      </c>
    </row>
    <row r="79" spans="1:16">
      <c r="A79" s="18">
        <v>176</v>
      </c>
      <c r="B79" s="19">
        <v>45458</v>
      </c>
      <c r="C79" s="20" t="str">
        <f t="shared" si="6"/>
        <v>Jun</v>
      </c>
      <c r="D79" s="20" t="s">
        <v>6</v>
      </c>
      <c r="E79" s="20" t="s">
        <v>43</v>
      </c>
      <c r="F79" s="20" t="s">
        <v>52</v>
      </c>
      <c r="G79" s="20" t="str">
        <f>VLOOKUP(Table1[[#This Row],[Customer ID]],'CUSTOMER INFO'!B6:D13,2,FALSE)</f>
        <v>MedEase</v>
      </c>
      <c r="H79" s="20" t="str">
        <f>VLOOKUP(Table1[[#This Row],[Customer ID]],'CUSTOMER INFO'!B6:D13,3,FALSE)</f>
        <v>Siddant Patil</v>
      </c>
      <c r="I79" s="20" t="s">
        <v>45</v>
      </c>
      <c r="J79" s="20" t="s">
        <v>96</v>
      </c>
      <c r="K79" s="19">
        <v>46178</v>
      </c>
      <c r="L79" s="20">
        <v>65</v>
      </c>
      <c r="M79" s="21">
        <v>48</v>
      </c>
      <c r="N79" s="22">
        <f t="shared" si="7"/>
        <v>3120</v>
      </c>
      <c r="O79" s="24" t="str">
        <f t="shared" si="4"/>
        <v>Y</v>
      </c>
      <c r="P79" s="21">
        <f t="shared" si="5"/>
        <v>2964</v>
      </c>
    </row>
    <row r="80" spans="1:16">
      <c r="A80" s="18">
        <v>177</v>
      </c>
      <c r="B80" s="19">
        <v>45459</v>
      </c>
      <c r="C80" s="20" t="str">
        <f t="shared" si="6"/>
        <v>Jun</v>
      </c>
      <c r="D80" s="20" t="s">
        <v>9</v>
      </c>
      <c r="E80" s="20" t="s">
        <v>47</v>
      </c>
      <c r="F80" s="20" t="s">
        <v>55</v>
      </c>
      <c r="G80" s="20" t="str">
        <f>VLOOKUP(Table1[[#This Row],[Customer ID]],'CUSTOMER INFO'!B7:D14,2,FALSE)</f>
        <v>CityMed Pharmacy</v>
      </c>
      <c r="H80" s="20" t="str">
        <f>VLOOKUP(Table1[[#This Row],[Customer ID]],'CUSTOMER INFO'!B7:D14,3,FALSE)</f>
        <v>Vikram Shah</v>
      </c>
      <c r="I80" s="20" t="s">
        <v>49</v>
      </c>
      <c r="J80" s="20" t="s">
        <v>97</v>
      </c>
      <c r="K80" s="19">
        <v>46297</v>
      </c>
      <c r="L80" s="20">
        <v>48</v>
      </c>
      <c r="M80" s="21">
        <v>95</v>
      </c>
      <c r="N80" s="22">
        <f t="shared" si="7"/>
        <v>4560</v>
      </c>
      <c r="O80" s="24" t="str">
        <f t="shared" si="4"/>
        <v>N</v>
      </c>
      <c r="P80" s="21">
        <f t="shared" si="5"/>
        <v>4560</v>
      </c>
    </row>
    <row r="81" spans="1:16">
      <c r="A81" s="18">
        <v>178</v>
      </c>
      <c r="B81" s="19">
        <v>45460</v>
      </c>
      <c r="C81" s="20" t="str">
        <f t="shared" si="6"/>
        <v>Jun</v>
      </c>
      <c r="D81" s="20" t="s">
        <v>7</v>
      </c>
      <c r="E81" s="20" t="s">
        <v>51</v>
      </c>
      <c r="F81" s="20" t="s">
        <v>58</v>
      </c>
      <c r="G81" s="20" t="str">
        <f>VLOOKUP(Table1[[#This Row],[Customer ID]],'CUSTOMER INFO'!B8:D15,2,FALSE)</f>
        <v>TrustCare Medicals</v>
      </c>
      <c r="H81" s="20" t="str">
        <f>VLOOKUP(Table1[[#This Row],[Customer ID]],'CUSTOMER INFO'!B8:D15,3,FALSE)</f>
        <v>Pooja Sharma</v>
      </c>
      <c r="I81" s="20" t="s">
        <v>53</v>
      </c>
      <c r="J81" s="20" t="s">
        <v>98</v>
      </c>
      <c r="K81" s="19">
        <v>46357</v>
      </c>
      <c r="L81" s="20">
        <v>54</v>
      </c>
      <c r="M81" s="21">
        <v>18</v>
      </c>
      <c r="N81" s="22">
        <f t="shared" si="7"/>
        <v>972</v>
      </c>
      <c r="O81" s="24" t="str">
        <f t="shared" si="4"/>
        <v>N</v>
      </c>
      <c r="P81" s="21">
        <f t="shared" si="5"/>
        <v>972</v>
      </c>
    </row>
    <row r="82" spans="1:16">
      <c r="A82" s="18">
        <v>179</v>
      </c>
      <c r="B82" s="19">
        <v>45461</v>
      </c>
      <c r="C82" s="20" t="str">
        <f t="shared" si="6"/>
        <v>Jun</v>
      </c>
      <c r="D82" s="20" t="s">
        <v>3</v>
      </c>
      <c r="E82" s="20" t="s">
        <v>39</v>
      </c>
      <c r="F82" s="20" t="s">
        <v>61</v>
      </c>
      <c r="G82" s="20" t="str">
        <f>VLOOKUP(Table1[[#This Row],[Customer ID]],'CUSTOMER INFO'!B9:D16,2,FALSE)</f>
        <v>Lifeline Medicals</v>
      </c>
      <c r="H82" s="20" t="str">
        <f>VLOOKUP(Table1[[#This Row],[Customer ID]],'CUSTOMER INFO'!B9:D16,3,FALSE)</f>
        <v>Harshal Singh</v>
      </c>
      <c r="I82" s="20" t="s">
        <v>56</v>
      </c>
      <c r="J82" s="20" t="s">
        <v>99</v>
      </c>
      <c r="K82" s="19">
        <v>46235</v>
      </c>
      <c r="L82" s="20">
        <v>25</v>
      </c>
      <c r="M82" s="21">
        <v>75</v>
      </c>
      <c r="N82" s="22">
        <f t="shared" si="7"/>
        <v>1875</v>
      </c>
      <c r="O82" s="24" t="str">
        <f t="shared" si="4"/>
        <v>N</v>
      </c>
      <c r="P82" s="21">
        <f t="shared" si="5"/>
        <v>1875</v>
      </c>
    </row>
    <row r="83" spans="1:16">
      <c r="A83" s="18">
        <v>180</v>
      </c>
      <c r="B83" s="19">
        <v>45462</v>
      </c>
      <c r="C83" s="20" t="str">
        <f t="shared" si="6"/>
        <v>Jun</v>
      </c>
      <c r="D83" s="20" t="s">
        <v>8</v>
      </c>
      <c r="E83" s="20" t="s">
        <v>43</v>
      </c>
      <c r="F83" s="20" t="s">
        <v>64</v>
      </c>
      <c r="G83" s="20" t="str">
        <f>VLOOKUP(Table1[[#This Row],[Customer ID]],'CUSTOMER INFO'!B10:D17,2,FALSE)</f>
        <v>CarePlus Medical Store</v>
      </c>
      <c r="H83" s="20" t="str">
        <f>VLOOKUP(Table1[[#This Row],[Customer ID]],'CUSTOMER INFO'!B10:D17,3,FALSE)</f>
        <v>Riya Mishra</v>
      </c>
      <c r="I83" s="20" t="s">
        <v>59</v>
      </c>
      <c r="J83" s="20" t="s">
        <v>100</v>
      </c>
      <c r="K83" s="19">
        <v>45870</v>
      </c>
      <c r="L83" s="20">
        <v>35</v>
      </c>
      <c r="M83" s="21">
        <v>55</v>
      </c>
      <c r="N83" s="22">
        <f t="shared" si="7"/>
        <v>1925</v>
      </c>
      <c r="O83" s="24" t="str">
        <f t="shared" si="4"/>
        <v>N</v>
      </c>
      <c r="P83" s="21">
        <f t="shared" si="5"/>
        <v>1925</v>
      </c>
    </row>
    <row r="84" spans="1:16">
      <c r="A84" s="18">
        <v>181</v>
      </c>
      <c r="B84" s="19">
        <v>45463</v>
      </c>
      <c r="C84" s="20" t="str">
        <f t="shared" si="6"/>
        <v>Jun</v>
      </c>
      <c r="D84" s="20" t="s">
        <v>5</v>
      </c>
      <c r="E84" s="20" t="s">
        <v>47</v>
      </c>
      <c r="F84" s="20" t="s">
        <v>40</v>
      </c>
      <c r="G84" s="20" t="str">
        <f>VLOOKUP(F84,'CUSTOMER INFO'!B3:D10,2,FALSE)</f>
        <v>Shree Medical &amp; General Store</v>
      </c>
      <c r="H84" s="20" t="str">
        <f>VLOOKUP(F84,'CUSTOMER INFO'!B3:D10,3,FALSE)</f>
        <v>Abhijeet Kulkarni</v>
      </c>
      <c r="I84" s="20" t="s">
        <v>62</v>
      </c>
      <c r="J84" s="20" t="s">
        <v>101</v>
      </c>
      <c r="K84" s="19">
        <v>46266</v>
      </c>
      <c r="L84" s="20">
        <v>38</v>
      </c>
      <c r="M84" s="21">
        <v>32</v>
      </c>
      <c r="N84" s="22">
        <f t="shared" si="7"/>
        <v>1216</v>
      </c>
      <c r="O84" s="24" t="str">
        <f t="shared" si="4"/>
        <v>N</v>
      </c>
      <c r="P84" s="21">
        <f t="shared" si="5"/>
        <v>1216</v>
      </c>
    </row>
    <row r="85" spans="1:16">
      <c r="A85" s="18">
        <v>182</v>
      </c>
      <c r="B85" s="19">
        <v>45464</v>
      </c>
      <c r="C85" s="20" t="str">
        <f t="shared" si="6"/>
        <v>Jun</v>
      </c>
      <c r="D85" s="20" t="s">
        <v>10</v>
      </c>
      <c r="E85" s="20" t="s">
        <v>51</v>
      </c>
      <c r="F85" s="20" t="s">
        <v>44</v>
      </c>
      <c r="G85" s="20" t="str">
        <f>VLOOKUP(F85,'CUSTOMER INFO'!B4:D11,2,FALSE)</f>
        <v>JeevanCare Medical Store</v>
      </c>
      <c r="H85" s="20" t="str">
        <f>VLOOKUP(F85,'CUSTOMER INFO'!B4:D11,3,FALSE)</f>
        <v>Neha Patel</v>
      </c>
      <c r="I85" s="20" t="s">
        <v>41</v>
      </c>
      <c r="J85" s="20" t="s">
        <v>95</v>
      </c>
      <c r="K85" s="19">
        <v>46357</v>
      </c>
      <c r="L85" s="20">
        <v>28</v>
      </c>
      <c r="M85" s="21">
        <v>90</v>
      </c>
      <c r="N85" s="22">
        <f t="shared" si="7"/>
        <v>2520</v>
      </c>
      <c r="O85" s="24" t="str">
        <f t="shared" si="4"/>
        <v>N</v>
      </c>
      <c r="P85" s="21">
        <f t="shared" si="5"/>
        <v>2520</v>
      </c>
    </row>
    <row r="86" spans="1:16">
      <c r="A86" s="18">
        <v>183</v>
      </c>
      <c r="B86" s="19">
        <v>45465</v>
      </c>
      <c r="C86" s="20" t="str">
        <f t="shared" si="6"/>
        <v>Jun</v>
      </c>
      <c r="D86" s="20" t="s">
        <v>4</v>
      </c>
      <c r="E86" s="20" t="s">
        <v>39</v>
      </c>
      <c r="F86" s="20" t="s">
        <v>48</v>
      </c>
      <c r="G86" s="20" t="str">
        <f>VLOOKUP(F86,'CUSTOMER INFO'!B5:D12,2,FALSE)</f>
        <v>Arogya Medical &amp; General</v>
      </c>
      <c r="H86" s="20" t="str">
        <f>VLOOKUP(F86,'CUSTOMER INFO'!B5:D12,3,FALSE)</f>
        <v>Hrishkesh Jadhv</v>
      </c>
      <c r="I86" s="20" t="s">
        <v>45</v>
      </c>
      <c r="J86" s="20" t="s">
        <v>96</v>
      </c>
      <c r="K86" s="19">
        <v>46296</v>
      </c>
      <c r="L86" s="20">
        <v>54</v>
      </c>
      <c r="M86" s="21">
        <v>20</v>
      </c>
      <c r="N86" s="22">
        <f t="shared" si="7"/>
        <v>1080</v>
      </c>
      <c r="O86" s="24" t="str">
        <f t="shared" si="4"/>
        <v>N</v>
      </c>
      <c r="P86" s="21">
        <f t="shared" si="5"/>
        <v>1080</v>
      </c>
    </row>
    <row r="87" spans="1:16">
      <c r="A87" s="18">
        <v>184</v>
      </c>
      <c r="B87" s="19">
        <v>45466</v>
      </c>
      <c r="C87" s="20" t="str">
        <f t="shared" si="6"/>
        <v>Jun</v>
      </c>
      <c r="D87" s="20" t="s">
        <v>6</v>
      </c>
      <c r="E87" s="20" t="s">
        <v>43</v>
      </c>
      <c r="F87" s="20" t="s">
        <v>52</v>
      </c>
      <c r="G87" s="20" t="str">
        <f>VLOOKUP(F87,'CUSTOMER INFO'!B6:D13,2,FALSE)</f>
        <v>MedEase</v>
      </c>
      <c r="H87" s="20" t="str">
        <f>VLOOKUP(F87,'CUSTOMER INFO'!B6:D13,3,FALSE)</f>
        <v>Siddant Patil</v>
      </c>
      <c r="I87" s="20" t="s">
        <v>49</v>
      </c>
      <c r="J87" s="20" t="s">
        <v>97</v>
      </c>
      <c r="K87" s="19">
        <v>46083</v>
      </c>
      <c r="L87" s="20">
        <v>35</v>
      </c>
      <c r="M87" s="21">
        <v>35</v>
      </c>
      <c r="N87" s="22">
        <f t="shared" si="7"/>
        <v>1225</v>
      </c>
      <c r="O87" s="24" t="str">
        <f t="shared" si="4"/>
        <v>N</v>
      </c>
      <c r="P87" s="21">
        <f t="shared" si="5"/>
        <v>1225</v>
      </c>
    </row>
    <row r="88" spans="1:16">
      <c r="A88" s="18">
        <v>185</v>
      </c>
      <c r="B88" s="19">
        <v>45467</v>
      </c>
      <c r="C88" s="20" t="str">
        <f t="shared" si="6"/>
        <v>Jun</v>
      </c>
      <c r="D88" s="20" t="s">
        <v>9</v>
      </c>
      <c r="E88" s="20" t="s">
        <v>39</v>
      </c>
      <c r="F88" s="20" t="s">
        <v>55</v>
      </c>
      <c r="G88" s="20" t="str">
        <f>VLOOKUP(F88,'CUSTOMER INFO'!B7:D14,2,FALSE)</f>
        <v>CityMed Pharmacy</v>
      </c>
      <c r="H88" s="20" t="str">
        <f>VLOOKUP(F88,'CUSTOMER INFO'!B7:D14,3,FALSE)</f>
        <v>Vikram Shah</v>
      </c>
      <c r="I88" s="20" t="s">
        <v>53</v>
      </c>
      <c r="J88" s="20" t="s">
        <v>98</v>
      </c>
      <c r="K88" s="19">
        <v>46381</v>
      </c>
      <c r="L88" s="20">
        <v>45</v>
      </c>
      <c r="M88" s="21">
        <v>42</v>
      </c>
      <c r="N88" s="22">
        <f t="shared" si="7"/>
        <v>1890</v>
      </c>
      <c r="O88" s="24" t="str">
        <f t="shared" si="4"/>
        <v>N</v>
      </c>
      <c r="P88" s="21">
        <f t="shared" si="5"/>
        <v>1890</v>
      </c>
    </row>
    <row r="89" spans="1:16">
      <c r="A89" s="18">
        <v>186</v>
      </c>
      <c r="B89" s="19">
        <v>45468</v>
      </c>
      <c r="C89" s="20" t="str">
        <f t="shared" si="6"/>
        <v>Jun</v>
      </c>
      <c r="D89" s="20" t="s">
        <v>9</v>
      </c>
      <c r="E89" s="20" t="s">
        <v>43</v>
      </c>
      <c r="F89" s="20" t="s">
        <v>58</v>
      </c>
      <c r="G89" s="20" t="str">
        <f>VLOOKUP(F89,'CUSTOMER INFO'!B8:D15,2,FALSE)</f>
        <v>TrustCare Medicals</v>
      </c>
      <c r="H89" s="20" t="str">
        <f>VLOOKUP(F89,'CUSTOMER INFO'!B8:D15,3,FALSE)</f>
        <v>Pooja Sharma</v>
      </c>
      <c r="I89" s="20" t="s">
        <v>56</v>
      </c>
      <c r="J89" s="20" t="s">
        <v>99</v>
      </c>
      <c r="K89" s="19">
        <v>46115</v>
      </c>
      <c r="L89" s="20">
        <v>25</v>
      </c>
      <c r="M89" s="21">
        <v>22</v>
      </c>
      <c r="N89" s="22">
        <f t="shared" si="7"/>
        <v>550</v>
      </c>
      <c r="O89" s="24" t="str">
        <f t="shared" si="4"/>
        <v>N</v>
      </c>
      <c r="P89" s="21">
        <f t="shared" si="5"/>
        <v>550</v>
      </c>
    </row>
    <row r="90" spans="1:16">
      <c r="A90" s="18">
        <v>187</v>
      </c>
      <c r="B90" s="19">
        <v>45469</v>
      </c>
      <c r="C90" s="20" t="str">
        <f t="shared" si="6"/>
        <v>Jun</v>
      </c>
      <c r="D90" s="20" t="s">
        <v>7</v>
      </c>
      <c r="E90" s="20" t="s">
        <v>47</v>
      </c>
      <c r="F90" s="20" t="s">
        <v>61</v>
      </c>
      <c r="G90" s="20" t="str">
        <f>VLOOKUP(F90,'CUSTOMER INFO'!B9:D16,2,FALSE)</f>
        <v>Lifeline Medicals</v>
      </c>
      <c r="H90" s="20" t="str">
        <f>VLOOKUP(F90,'CUSTOMER INFO'!B9:D16,3,FALSE)</f>
        <v>Harshal Singh</v>
      </c>
      <c r="I90" s="20" t="s">
        <v>59</v>
      </c>
      <c r="J90" s="20" t="s">
        <v>100</v>
      </c>
      <c r="K90" s="19">
        <v>46178</v>
      </c>
      <c r="L90" s="20">
        <v>35</v>
      </c>
      <c r="M90" s="21">
        <v>48</v>
      </c>
      <c r="N90" s="22">
        <f t="shared" si="7"/>
        <v>1680</v>
      </c>
      <c r="O90" s="24" t="str">
        <f t="shared" si="4"/>
        <v>N</v>
      </c>
      <c r="P90" s="21">
        <f t="shared" si="5"/>
        <v>1680</v>
      </c>
    </row>
    <row r="91" spans="1:16">
      <c r="A91" s="18">
        <v>188</v>
      </c>
      <c r="B91" s="19">
        <v>45470</v>
      </c>
      <c r="C91" s="20" t="str">
        <f t="shared" si="6"/>
        <v>Jun</v>
      </c>
      <c r="D91" s="20" t="s">
        <v>3</v>
      </c>
      <c r="E91" s="20" t="s">
        <v>51</v>
      </c>
      <c r="F91" s="20" t="s">
        <v>64</v>
      </c>
      <c r="G91" s="20" t="str">
        <f>VLOOKUP(F91,'CUSTOMER INFO'!B10:D17,2,FALSE)</f>
        <v>CarePlus Medical Store</v>
      </c>
      <c r="H91" s="20" t="str">
        <f>VLOOKUP(F91,'CUSTOMER INFO'!B10:D17,3,FALSE)</f>
        <v>Riya Mishra</v>
      </c>
      <c r="I91" s="20" t="s">
        <v>62</v>
      </c>
      <c r="J91" s="20" t="s">
        <v>101</v>
      </c>
      <c r="K91" s="19">
        <v>46297</v>
      </c>
      <c r="L91" s="20">
        <v>22</v>
      </c>
      <c r="M91" s="21">
        <v>95</v>
      </c>
      <c r="N91" s="22">
        <f t="shared" si="7"/>
        <v>2090</v>
      </c>
      <c r="O91" s="24" t="str">
        <f t="shared" si="4"/>
        <v>N</v>
      </c>
      <c r="P91" s="21">
        <f t="shared" si="5"/>
        <v>2090</v>
      </c>
    </row>
    <row r="92" spans="1:16">
      <c r="A92" s="18">
        <v>189</v>
      </c>
      <c r="B92" s="19">
        <v>45471</v>
      </c>
      <c r="C92" s="20" t="str">
        <f t="shared" si="6"/>
        <v>Jun</v>
      </c>
      <c r="D92" s="20" t="s">
        <v>8</v>
      </c>
      <c r="E92" s="20" t="s">
        <v>39</v>
      </c>
      <c r="F92" s="20" t="s">
        <v>40</v>
      </c>
      <c r="G92" s="20" t="str">
        <f>VLOOKUP(F92,'CUSTOMER INFO'!B3:D10,2,FALSE)</f>
        <v>Shree Medical &amp; General Store</v>
      </c>
      <c r="H92" s="20" t="str">
        <f>VLOOKUP(F92,'CUSTOMER INFO'!B3:D10,3,FALSE)</f>
        <v>Abhijeet Kulkarni</v>
      </c>
      <c r="I92" s="20" t="s">
        <v>65</v>
      </c>
      <c r="J92" s="20" t="s">
        <v>102</v>
      </c>
      <c r="K92" s="19">
        <v>46357</v>
      </c>
      <c r="L92" s="20">
        <v>62</v>
      </c>
      <c r="M92" s="21">
        <v>18</v>
      </c>
      <c r="N92" s="22">
        <f t="shared" si="7"/>
        <v>1116</v>
      </c>
      <c r="O92" s="24" t="str">
        <f t="shared" si="4"/>
        <v>Y</v>
      </c>
      <c r="P92" s="21">
        <f t="shared" si="5"/>
        <v>1060.2</v>
      </c>
    </row>
    <row r="93" spans="1:16">
      <c r="A93" s="18">
        <v>190</v>
      </c>
      <c r="B93" s="19">
        <v>45472</v>
      </c>
      <c r="C93" s="20" t="str">
        <f t="shared" si="6"/>
        <v>Jun</v>
      </c>
      <c r="D93" s="20" t="s">
        <v>5</v>
      </c>
      <c r="E93" s="20" t="s">
        <v>43</v>
      </c>
      <c r="F93" s="20" t="s">
        <v>44</v>
      </c>
      <c r="G93" s="20" t="str">
        <f>VLOOKUP(F93,'CUSTOMER INFO'!B4:D11,2,FALSE)</f>
        <v>JeevanCare Medical Store</v>
      </c>
      <c r="H93" s="20" t="str">
        <f>VLOOKUP(F93,'CUSTOMER INFO'!B4:D11,3,FALSE)</f>
        <v>Neha Patel</v>
      </c>
      <c r="I93" s="20" t="s">
        <v>67</v>
      </c>
      <c r="J93" s="20" t="s">
        <v>103</v>
      </c>
      <c r="K93" s="19">
        <v>46235</v>
      </c>
      <c r="L93" s="20">
        <v>32</v>
      </c>
      <c r="M93" s="21">
        <v>75</v>
      </c>
      <c r="N93" s="22">
        <f t="shared" si="7"/>
        <v>2400</v>
      </c>
      <c r="O93" s="24" t="str">
        <f t="shared" si="4"/>
        <v>N</v>
      </c>
      <c r="P93" s="21">
        <f t="shared" si="5"/>
        <v>2400</v>
      </c>
    </row>
    <row r="94" spans="1:16">
      <c r="A94" s="18">
        <v>191</v>
      </c>
      <c r="B94" s="19">
        <v>45473</v>
      </c>
      <c r="C94" s="20" t="str">
        <f t="shared" si="6"/>
        <v>Jun</v>
      </c>
      <c r="D94" s="20" t="s">
        <v>10</v>
      </c>
      <c r="E94" s="20" t="s">
        <v>47</v>
      </c>
      <c r="F94" s="20" t="s">
        <v>48</v>
      </c>
      <c r="G94" s="20" t="str">
        <f>VLOOKUP(F94,'CUSTOMER INFO'!B5:D12,2,FALSE)</f>
        <v>Arogya Medical &amp; General</v>
      </c>
      <c r="H94" s="20" t="str">
        <f>VLOOKUP(F94,'CUSTOMER INFO'!B5:D12,3,FALSE)</f>
        <v>Hrishkesh Jadhv</v>
      </c>
      <c r="I94" s="20" t="s">
        <v>41</v>
      </c>
      <c r="J94" s="20" t="s">
        <v>84</v>
      </c>
      <c r="K94" s="19">
        <v>45870</v>
      </c>
      <c r="L94" s="20">
        <v>65</v>
      </c>
      <c r="M94" s="21">
        <v>55</v>
      </c>
      <c r="N94" s="22">
        <f t="shared" si="7"/>
        <v>3575</v>
      </c>
      <c r="O94" s="24" t="str">
        <f t="shared" si="4"/>
        <v>Y</v>
      </c>
      <c r="P94" s="21">
        <f t="shared" si="5"/>
        <v>3396.25</v>
      </c>
    </row>
    <row r="95" spans="1:16">
      <c r="A95" s="18">
        <v>192</v>
      </c>
      <c r="B95" s="19">
        <v>45474</v>
      </c>
      <c r="C95" s="20" t="str">
        <f t="shared" si="6"/>
        <v>Jul</v>
      </c>
      <c r="D95" s="20" t="s">
        <v>4</v>
      </c>
      <c r="E95" s="20" t="s">
        <v>51</v>
      </c>
      <c r="F95" s="20" t="s">
        <v>52</v>
      </c>
      <c r="G95" s="20" t="str">
        <f>VLOOKUP(F95,'CUSTOMER INFO'!B6:D13,2,FALSE)</f>
        <v>MedEase</v>
      </c>
      <c r="H95" s="20" t="str">
        <f>VLOOKUP(F95,'CUSTOMER INFO'!B6:D13,3,FALSE)</f>
        <v>Siddant Patil</v>
      </c>
      <c r="I95" s="20" t="s">
        <v>45</v>
      </c>
      <c r="J95" s="20" t="s">
        <v>85</v>
      </c>
      <c r="K95" s="19">
        <v>46266</v>
      </c>
      <c r="L95" s="20">
        <v>48</v>
      </c>
      <c r="M95" s="21">
        <v>32</v>
      </c>
      <c r="N95" s="22">
        <f t="shared" si="7"/>
        <v>1536</v>
      </c>
      <c r="O95" s="24" t="str">
        <f t="shared" si="4"/>
        <v>N</v>
      </c>
      <c r="P95" s="21">
        <f t="shared" si="5"/>
        <v>1536</v>
      </c>
    </row>
    <row r="96" spans="1:16">
      <c r="A96" s="18">
        <v>193</v>
      </c>
      <c r="B96" s="19">
        <v>45475</v>
      </c>
      <c r="C96" s="20" t="str">
        <f t="shared" si="6"/>
        <v>Jul</v>
      </c>
      <c r="D96" s="20" t="s">
        <v>6</v>
      </c>
      <c r="E96" s="20" t="s">
        <v>39</v>
      </c>
      <c r="F96" s="20" t="s">
        <v>55</v>
      </c>
      <c r="G96" s="20" t="str">
        <f>VLOOKUP(F96,'CUSTOMER INFO'!B7:D14,2,FALSE)</f>
        <v>CityMed Pharmacy</v>
      </c>
      <c r="H96" s="20" t="str">
        <f>VLOOKUP(F96,'CUSTOMER INFO'!B7:D14,3,FALSE)</f>
        <v>Vikram Shah</v>
      </c>
      <c r="I96" s="20" t="s">
        <v>49</v>
      </c>
      <c r="J96" s="20" t="s">
        <v>86</v>
      </c>
      <c r="K96" s="19">
        <v>46357</v>
      </c>
      <c r="L96" s="20">
        <v>54</v>
      </c>
      <c r="M96" s="21">
        <v>90</v>
      </c>
      <c r="N96" s="22">
        <f t="shared" si="7"/>
        <v>4860</v>
      </c>
      <c r="O96" s="24" t="str">
        <f t="shared" si="4"/>
        <v>N</v>
      </c>
      <c r="P96" s="21">
        <f t="shared" si="5"/>
        <v>4860</v>
      </c>
    </row>
    <row r="97" spans="1:16">
      <c r="A97" s="18">
        <v>194</v>
      </c>
      <c r="B97" s="19">
        <v>45476</v>
      </c>
      <c r="C97" s="20" t="str">
        <f t="shared" si="6"/>
        <v>Jul</v>
      </c>
      <c r="D97" s="20" t="s">
        <v>9</v>
      </c>
      <c r="E97" s="20" t="s">
        <v>43</v>
      </c>
      <c r="F97" s="20" t="s">
        <v>58</v>
      </c>
      <c r="G97" s="20" t="str">
        <f>VLOOKUP(F97,'CUSTOMER INFO'!B8:D15,2,FALSE)</f>
        <v>TrustCare Medicals</v>
      </c>
      <c r="H97" s="20" t="str">
        <f>VLOOKUP(F97,'CUSTOMER INFO'!B8:D15,3,FALSE)</f>
        <v>Pooja Sharma</v>
      </c>
      <c r="I97" s="20" t="s">
        <v>53</v>
      </c>
      <c r="J97" s="20" t="s">
        <v>87</v>
      </c>
      <c r="K97" s="19">
        <v>46296</v>
      </c>
      <c r="L97" s="20">
        <v>25</v>
      </c>
      <c r="M97" s="21">
        <v>20</v>
      </c>
      <c r="N97" s="22">
        <f t="shared" si="7"/>
        <v>500</v>
      </c>
      <c r="O97" s="24" t="str">
        <f t="shared" si="4"/>
        <v>N</v>
      </c>
      <c r="P97" s="21">
        <f t="shared" si="5"/>
        <v>500</v>
      </c>
    </row>
    <row r="98" spans="1:16">
      <c r="A98" s="18">
        <v>195</v>
      </c>
      <c r="B98" s="19">
        <v>45477</v>
      </c>
      <c r="C98" s="20" t="str">
        <f t="shared" si="6"/>
        <v>Jul</v>
      </c>
      <c r="D98" s="20" t="s">
        <v>7</v>
      </c>
      <c r="E98" s="20" t="s">
        <v>47</v>
      </c>
      <c r="F98" s="20" t="s">
        <v>61</v>
      </c>
      <c r="G98" s="20" t="str">
        <f>VLOOKUP(F98,'CUSTOMER INFO'!B9:D16,2,FALSE)</f>
        <v>Lifeline Medicals</v>
      </c>
      <c r="H98" s="20" t="str">
        <f>VLOOKUP(F98,'CUSTOMER INFO'!B9:D16,3,FALSE)</f>
        <v>Harshal Singh</v>
      </c>
      <c r="I98" s="20" t="s">
        <v>56</v>
      </c>
      <c r="J98" s="20" t="s">
        <v>88</v>
      </c>
      <c r="K98" s="19">
        <v>46083</v>
      </c>
      <c r="L98" s="20">
        <v>35</v>
      </c>
      <c r="M98" s="21">
        <v>35</v>
      </c>
      <c r="N98" s="22">
        <f t="shared" si="7"/>
        <v>1225</v>
      </c>
      <c r="O98" s="24" t="str">
        <f t="shared" si="4"/>
        <v>N</v>
      </c>
      <c r="P98" s="21">
        <f t="shared" si="5"/>
        <v>1225</v>
      </c>
    </row>
    <row r="99" spans="1:16">
      <c r="A99" s="18">
        <v>196</v>
      </c>
      <c r="B99" s="19">
        <v>45478</v>
      </c>
      <c r="C99" s="20" t="str">
        <f t="shared" si="6"/>
        <v>Jul</v>
      </c>
      <c r="D99" s="20" t="s">
        <v>3</v>
      </c>
      <c r="E99" s="20" t="s">
        <v>51</v>
      </c>
      <c r="F99" s="20" t="s">
        <v>64</v>
      </c>
      <c r="G99" s="20" t="str">
        <f>VLOOKUP(F99,'CUSTOMER INFO'!B10:D17,2,FALSE)</f>
        <v>CarePlus Medical Store</v>
      </c>
      <c r="H99" s="20" t="str">
        <f>VLOOKUP(F99,'CUSTOMER INFO'!B10:D17,3,FALSE)</f>
        <v>Riya Mishra</v>
      </c>
      <c r="I99" s="20" t="s">
        <v>59</v>
      </c>
      <c r="J99" s="20" t="s">
        <v>89</v>
      </c>
      <c r="K99" s="19">
        <v>46381</v>
      </c>
      <c r="L99" s="20">
        <v>38</v>
      </c>
      <c r="M99" s="21">
        <v>42</v>
      </c>
      <c r="N99" s="22">
        <f t="shared" si="7"/>
        <v>1596</v>
      </c>
      <c r="O99" s="24" t="str">
        <f t="shared" si="4"/>
        <v>N</v>
      </c>
      <c r="P99" s="21">
        <f t="shared" si="5"/>
        <v>1596</v>
      </c>
    </row>
    <row r="100" spans="1:16">
      <c r="A100" s="18">
        <v>197</v>
      </c>
      <c r="B100" s="19">
        <v>45479</v>
      </c>
      <c r="C100" s="20" t="str">
        <f t="shared" si="6"/>
        <v>Jul</v>
      </c>
      <c r="D100" s="20" t="s">
        <v>8</v>
      </c>
      <c r="E100" s="20" t="s">
        <v>39</v>
      </c>
      <c r="F100" s="20" t="s">
        <v>40</v>
      </c>
      <c r="G100" s="20" t="str">
        <f>VLOOKUP(F100,'CUSTOMER INFO'!B3:D10,2,FALSE)</f>
        <v>Shree Medical &amp; General Store</v>
      </c>
      <c r="H100" s="20" t="str">
        <f>VLOOKUP(F100,'CUSTOMER INFO'!B3:D10,3,FALSE)</f>
        <v>Abhijeet Kulkarni</v>
      </c>
      <c r="I100" s="20" t="s">
        <v>62</v>
      </c>
      <c r="J100" s="20" t="s">
        <v>90</v>
      </c>
      <c r="K100" s="19">
        <v>46115</v>
      </c>
      <c r="L100" s="20">
        <v>28</v>
      </c>
      <c r="M100" s="21">
        <v>22</v>
      </c>
      <c r="N100" s="22">
        <f t="shared" si="7"/>
        <v>616</v>
      </c>
      <c r="O100" s="24" t="str">
        <f t="shared" si="4"/>
        <v>N</v>
      </c>
      <c r="P100" s="21">
        <f t="shared" si="5"/>
        <v>616</v>
      </c>
    </row>
    <row r="101" spans="1:16">
      <c r="A101" s="18">
        <v>198</v>
      </c>
      <c r="B101" s="19">
        <v>45480</v>
      </c>
      <c r="C101" s="20" t="str">
        <f t="shared" si="6"/>
        <v>Jul</v>
      </c>
      <c r="D101" s="20" t="s">
        <v>5</v>
      </c>
      <c r="E101" s="20" t="s">
        <v>43</v>
      </c>
      <c r="F101" s="20" t="s">
        <v>44</v>
      </c>
      <c r="G101" s="20" t="str">
        <f>VLOOKUP(F101,'CUSTOMER INFO'!B4:D11,2,FALSE)</f>
        <v>JeevanCare Medical Store</v>
      </c>
      <c r="H101" s="20" t="str">
        <f>VLOOKUP(F101,'CUSTOMER INFO'!B4:D11,3,FALSE)</f>
        <v>Neha Patel</v>
      </c>
      <c r="I101" s="20" t="s">
        <v>65</v>
      </c>
      <c r="J101" s="20" t="s">
        <v>91</v>
      </c>
      <c r="K101" s="19">
        <v>46178</v>
      </c>
      <c r="L101" s="20">
        <v>54</v>
      </c>
      <c r="M101" s="21">
        <v>48</v>
      </c>
      <c r="N101" s="22">
        <f t="shared" si="7"/>
        <v>2592</v>
      </c>
      <c r="O101" s="24" t="str">
        <f t="shared" si="4"/>
        <v>N</v>
      </c>
      <c r="P101" s="21">
        <f t="shared" si="5"/>
        <v>2592</v>
      </c>
    </row>
    <row r="102" spans="1:16">
      <c r="A102" s="18">
        <v>199</v>
      </c>
      <c r="B102" s="19">
        <v>45481</v>
      </c>
      <c r="C102" s="20" t="str">
        <f t="shared" si="6"/>
        <v>Jul</v>
      </c>
      <c r="D102" s="20" t="s">
        <v>10</v>
      </c>
      <c r="E102" s="20" t="s">
        <v>39</v>
      </c>
      <c r="F102" s="20" t="s">
        <v>48</v>
      </c>
      <c r="G102" s="20" t="str">
        <f>VLOOKUP(F102,'CUSTOMER INFO'!B5:D12,2,FALSE)</f>
        <v>Arogya Medical &amp; General</v>
      </c>
      <c r="H102" s="20" t="str">
        <f>VLOOKUP(F102,'CUSTOMER INFO'!B5:D12,3,FALSE)</f>
        <v>Hrishkesh Jadhv</v>
      </c>
      <c r="I102" s="20" t="s">
        <v>67</v>
      </c>
      <c r="J102" s="20" t="s">
        <v>92</v>
      </c>
      <c r="K102" s="19">
        <v>46297</v>
      </c>
      <c r="L102" s="20">
        <v>35</v>
      </c>
      <c r="M102" s="21">
        <v>95</v>
      </c>
      <c r="N102" s="22">
        <f t="shared" si="7"/>
        <v>3325</v>
      </c>
      <c r="O102" s="24" t="str">
        <f t="shared" si="4"/>
        <v>N</v>
      </c>
      <c r="P102" s="21">
        <f t="shared" si="5"/>
        <v>3325</v>
      </c>
    </row>
    <row r="103" spans="1:16">
      <c r="A103" s="18">
        <v>200</v>
      </c>
      <c r="B103" s="19">
        <v>45482</v>
      </c>
      <c r="C103" s="20" t="str">
        <f t="shared" si="6"/>
        <v>Jul</v>
      </c>
      <c r="D103" s="20" t="s">
        <v>4</v>
      </c>
      <c r="E103" s="20" t="s">
        <v>43</v>
      </c>
      <c r="F103" s="20" t="s">
        <v>52</v>
      </c>
      <c r="G103" s="20" t="str">
        <f>VLOOKUP(F103,'CUSTOMER INFO'!B6:D13,2,FALSE)</f>
        <v>MedEase</v>
      </c>
      <c r="H103" s="20" t="str">
        <f>VLOOKUP(F103,'CUSTOMER INFO'!B6:D13,3,FALSE)</f>
        <v>Siddant Patil</v>
      </c>
      <c r="I103" s="20" t="s">
        <v>69</v>
      </c>
      <c r="J103" s="20" t="s">
        <v>93</v>
      </c>
      <c r="K103" s="19">
        <v>46357</v>
      </c>
      <c r="L103" s="20">
        <v>45</v>
      </c>
      <c r="M103" s="21">
        <v>18</v>
      </c>
      <c r="N103" s="22">
        <f t="shared" si="7"/>
        <v>810</v>
      </c>
      <c r="O103" s="24" t="str">
        <f t="shared" si="4"/>
        <v>N</v>
      </c>
      <c r="P103" s="21">
        <f t="shared" si="5"/>
        <v>810</v>
      </c>
    </row>
    <row r="104" spans="1:16">
      <c r="A104" s="18">
        <v>201</v>
      </c>
      <c r="B104" s="19">
        <v>45483</v>
      </c>
      <c r="C104" s="20" t="str">
        <f t="shared" si="6"/>
        <v>Jul</v>
      </c>
      <c r="D104" s="20" t="s">
        <v>6</v>
      </c>
      <c r="E104" s="20" t="s">
        <v>47</v>
      </c>
      <c r="F104" s="20" t="s">
        <v>55</v>
      </c>
      <c r="G104" s="20" t="str">
        <f>VLOOKUP(F104,'CUSTOMER INFO'!B7:D14,2,FALSE)</f>
        <v>CityMed Pharmacy</v>
      </c>
      <c r="H104" s="20" t="str">
        <f>VLOOKUP(F104,'CUSTOMER INFO'!B7:D14,3,FALSE)</f>
        <v>Vikram Shah</v>
      </c>
      <c r="I104" s="20" t="s">
        <v>71</v>
      </c>
      <c r="J104" s="20" t="s">
        <v>94</v>
      </c>
      <c r="K104" s="19">
        <v>46235</v>
      </c>
      <c r="L104" s="20">
        <v>25</v>
      </c>
      <c r="M104" s="21">
        <v>75</v>
      </c>
      <c r="N104" s="22">
        <f t="shared" si="7"/>
        <v>1875</v>
      </c>
      <c r="O104" s="24" t="str">
        <f t="shared" si="4"/>
        <v>N</v>
      </c>
      <c r="P104" s="21">
        <f t="shared" si="5"/>
        <v>1875</v>
      </c>
    </row>
    <row r="105" spans="1:16">
      <c r="A105" s="18">
        <v>202</v>
      </c>
      <c r="B105" s="19">
        <v>45484</v>
      </c>
      <c r="C105" s="20" t="str">
        <f t="shared" si="6"/>
        <v>Jul</v>
      </c>
      <c r="D105" s="20" t="s">
        <v>9</v>
      </c>
      <c r="E105" s="20" t="s">
        <v>51</v>
      </c>
      <c r="F105" s="20" t="s">
        <v>58</v>
      </c>
      <c r="G105" s="20" t="str">
        <f>VLOOKUP(F105,'CUSTOMER INFO'!B8:D15,2,FALSE)</f>
        <v>TrustCare Medicals</v>
      </c>
      <c r="H105" s="20" t="str">
        <f>VLOOKUP(F105,'CUSTOMER INFO'!B8:D15,3,FALSE)</f>
        <v>Pooja Sharma</v>
      </c>
      <c r="I105" s="20" t="s">
        <v>41</v>
      </c>
      <c r="J105" s="20" t="s">
        <v>95</v>
      </c>
      <c r="K105" s="19">
        <v>45870</v>
      </c>
      <c r="L105" s="20">
        <v>35</v>
      </c>
      <c r="M105" s="21">
        <v>55</v>
      </c>
      <c r="N105" s="22">
        <f t="shared" si="7"/>
        <v>1925</v>
      </c>
      <c r="O105" s="24" t="str">
        <f t="shared" si="4"/>
        <v>N</v>
      </c>
      <c r="P105" s="21">
        <f t="shared" si="5"/>
        <v>1925</v>
      </c>
    </row>
    <row r="106" spans="1:16">
      <c r="A106" s="18">
        <v>203</v>
      </c>
      <c r="B106" s="19">
        <v>45485</v>
      </c>
      <c r="C106" s="20" t="str">
        <f t="shared" si="6"/>
        <v>Jul</v>
      </c>
      <c r="D106" s="20" t="s">
        <v>9</v>
      </c>
      <c r="E106" s="20" t="s">
        <v>39</v>
      </c>
      <c r="F106" s="20" t="s">
        <v>61</v>
      </c>
      <c r="G106" s="20" t="str">
        <f>VLOOKUP(F106,'CUSTOMER INFO'!B9:D16,2,FALSE)</f>
        <v>Lifeline Medicals</v>
      </c>
      <c r="H106" s="20" t="str">
        <f>VLOOKUP(F106,'CUSTOMER INFO'!B9:D16,3,FALSE)</f>
        <v>Harshal Singh</v>
      </c>
      <c r="I106" s="20" t="s">
        <v>45</v>
      </c>
      <c r="J106" s="20" t="s">
        <v>96</v>
      </c>
      <c r="K106" s="19">
        <v>46266</v>
      </c>
      <c r="L106" s="20">
        <v>22</v>
      </c>
      <c r="M106" s="21">
        <v>32</v>
      </c>
      <c r="N106" s="22">
        <f t="shared" si="7"/>
        <v>704</v>
      </c>
      <c r="O106" s="24" t="str">
        <f t="shared" si="4"/>
        <v>N</v>
      </c>
      <c r="P106" s="21">
        <f t="shared" si="5"/>
        <v>704</v>
      </c>
    </row>
    <row r="107" spans="1:16">
      <c r="A107" s="18">
        <v>204</v>
      </c>
      <c r="B107" s="19">
        <v>45486</v>
      </c>
      <c r="C107" s="20" t="str">
        <f t="shared" si="6"/>
        <v>Jul</v>
      </c>
      <c r="D107" s="20" t="s">
        <v>7</v>
      </c>
      <c r="E107" s="20" t="s">
        <v>43</v>
      </c>
      <c r="F107" s="20" t="s">
        <v>64</v>
      </c>
      <c r="G107" s="20" t="str">
        <f>VLOOKUP(F107,'CUSTOMER INFO'!B10:D17,2,FALSE)</f>
        <v>CarePlus Medical Store</v>
      </c>
      <c r="H107" s="20" t="str">
        <f>VLOOKUP(F107,'CUSTOMER INFO'!B10:D17,3,FALSE)</f>
        <v>Riya Mishra</v>
      </c>
      <c r="I107" s="20" t="s">
        <v>49</v>
      </c>
      <c r="J107" s="20" t="s">
        <v>97</v>
      </c>
      <c r="K107" s="19">
        <v>46357</v>
      </c>
      <c r="L107" s="20">
        <v>62</v>
      </c>
      <c r="M107" s="21">
        <v>90</v>
      </c>
      <c r="N107" s="22">
        <f t="shared" si="7"/>
        <v>5580</v>
      </c>
      <c r="O107" s="24" t="str">
        <f t="shared" si="4"/>
        <v>Y</v>
      </c>
      <c r="P107" s="21">
        <f t="shared" si="5"/>
        <v>5301</v>
      </c>
    </row>
    <row r="108" spans="1:16">
      <c r="A108" s="18">
        <v>205</v>
      </c>
      <c r="B108" s="19">
        <v>45487</v>
      </c>
      <c r="C108" s="20" t="str">
        <f t="shared" si="6"/>
        <v>Jul</v>
      </c>
      <c r="D108" s="20" t="s">
        <v>3</v>
      </c>
      <c r="E108" s="20" t="s">
        <v>47</v>
      </c>
      <c r="F108" s="20" t="s">
        <v>40</v>
      </c>
      <c r="G108" s="20" t="str">
        <f>VLOOKUP(F108,'CUSTOMER INFO'!B3:D10,2,FALSE)</f>
        <v>Shree Medical &amp; General Store</v>
      </c>
      <c r="H108" s="20" t="str">
        <f>VLOOKUP(F108,'CUSTOMER INFO'!B3:D10,3,FALSE)</f>
        <v>Abhijeet Kulkarni</v>
      </c>
      <c r="I108" s="20" t="s">
        <v>53</v>
      </c>
      <c r="J108" s="20" t="s">
        <v>98</v>
      </c>
      <c r="K108" s="19">
        <v>46296</v>
      </c>
      <c r="L108" s="20">
        <v>32</v>
      </c>
      <c r="M108" s="21">
        <v>20</v>
      </c>
      <c r="N108" s="22">
        <f t="shared" si="7"/>
        <v>640</v>
      </c>
      <c r="O108" s="24" t="str">
        <f t="shared" si="4"/>
        <v>N</v>
      </c>
      <c r="P108" s="21">
        <f t="shared" si="5"/>
        <v>640</v>
      </c>
    </row>
    <row r="109" spans="1:16">
      <c r="A109" s="18">
        <v>206</v>
      </c>
      <c r="B109" s="19">
        <v>45488</v>
      </c>
      <c r="C109" s="20" t="str">
        <f t="shared" si="6"/>
        <v>Jul</v>
      </c>
      <c r="D109" s="20" t="s">
        <v>8</v>
      </c>
      <c r="E109" s="20" t="s">
        <v>51</v>
      </c>
      <c r="F109" s="20" t="s">
        <v>44</v>
      </c>
      <c r="G109" s="20" t="str">
        <f>VLOOKUP(F109,'CUSTOMER INFO'!B4:D11,2,FALSE)</f>
        <v>JeevanCare Medical Store</v>
      </c>
      <c r="H109" s="20" t="str">
        <f>VLOOKUP(F109,'CUSTOMER INFO'!B4:D11,3,FALSE)</f>
        <v>Neha Patel</v>
      </c>
      <c r="I109" s="20" t="s">
        <v>56</v>
      </c>
      <c r="J109" s="20" t="s">
        <v>99</v>
      </c>
      <c r="K109" s="19">
        <v>46083</v>
      </c>
      <c r="L109" s="20">
        <v>65</v>
      </c>
      <c r="M109" s="21">
        <v>35</v>
      </c>
      <c r="N109" s="22">
        <f t="shared" si="7"/>
        <v>2275</v>
      </c>
      <c r="O109" s="24" t="str">
        <f t="shared" si="4"/>
        <v>Y</v>
      </c>
      <c r="P109" s="21">
        <f t="shared" si="5"/>
        <v>2161.25</v>
      </c>
    </row>
    <row r="110" spans="1:16">
      <c r="A110" s="18">
        <v>207</v>
      </c>
      <c r="B110" s="19">
        <v>45489</v>
      </c>
      <c r="C110" s="20" t="str">
        <f t="shared" si="6"/>
        <v>Jul</v>
      </c>
      <c r="D110" s="20" t="s">
        <v>5</v>
      </c>
      <c r="E110" s="20" t="s">
        <v>39</v>
      </c>
      <c r="F110" s="20" t="s">
        <v>48</v>
      </c>
      <c r="G110" s="20" t="str">
        <f>VLOOKUP(F110,'CUSTOMER INFO'!B5:D12,2,FALSE)</f>
        <v>Arogya Medical &amp; General</v>
      </c>
      <c r="H110" s="20" t="str">
        <f>VLOOKUP(F110,'CUSTOMER INFO'!B5:D12,3,FALSE)</f>
        <v>Hrishkesh Jadhv</v>
      </c>
      <c r="I110" s="20" t="s">
        <v>59</v>
      </c>
      <c r="J110" s="20" t="s">
        <v>100</v>
      </c>
      <c r="K110" s="19">
        <v>46381</v>
      </c>
      <c r="L110" s="20">
        <v>48</v>
      </c>
      <c r="M110" s="21">
        <v>42</v>
      </c>
      <c r="N110" s="22">
        <f t="shared" si="7"/>
        <v>2016</v>
      </c>
      <c r="O110" s="24" t="str">
        <f t="shared" si="4"/>
        <v>N</v>
      </c>
      <c r="P110" s="21">
        <f t="shared" si="5"/>
        <v>2016</v>
      </c>
    </row>
    <row r="111" spans="1:16">
      <c r="A111" s="18">
        <v>208</v>
      </c>
      <c r="B111" s="19">
        <v>45490</v>
      </c>
      <c r="C111" s="20" t="str">
        <f t="shared" si="6"/>
        <v>Jul</v>
      </c>
      <c r="D111" s="20" t="s">
        <v>10</v>
      </c>
      <c r="E111" s="20" t="s">
        <v>43</v>
      </c>
      <c r="F111" s="20" t="s">
        <v>52</v>
      </c>
      <c r="G111" s="20" t="str">
        <f>VLOOKUP(F111,'CUSTOMER INFO'!B6:D13,2,FALSE)</f>
        <v>MedEase</v>
      </c>
      <c r="H111" s="20" t="str">
        <f>VLOOKUP(F111,'CUSTOMER INFO'!B6:D13,3,FALSE)</f>
        <v>Siddant Patil</v>
      </c>
      <c r="I111" s="20" t="s">
        <v>62</v>
      </c>
      <c r="J111" s="20" t="s">
        <v>101</v>
      </c>
      <c r="K111" s="19">
        <v>46115</v>
      </c>
      <c r="L111" s="20">
        <v>54</v>
      </c>
      <c r="M111" s="21">
        <v>22</v>
      </c>
      <c r="N111" s="22">
        <f t="shared" si="7"/>
        <v>1188</v>
      </c>
      <c r="O111" s="24" t="str">
        <f t="shared" si="4"/>
        <v>N</v>
      </c>
      <c r="P111" s="21">
        <f t="shared" si="5"/>
        <v>1188</v>
      </c>
    </row>
    <row r="112" spans="1:16">
      <c r="A112" s="18">
        <v>209</v>
      </c>
      <c r="B112" s="19">
        <v>45491</v>
      </c>
      <c r="C112" s="20" t="str">
        <f t="shared" si="6"/>
        <v>Jul</v>
      </c>
      <c r="D112" s="20" t="s">
        <v>4</v>
      </c>
      <c r="E112" s="20" t="s">
        <v>47</v>
      </c>
      <c r="F112" s="20" t="s">
        <v>55</v>
      </c>
      <c r="G112" s="20" t="str">
        <f>VLOOKUP(F112,'CUSTOMER INFO'!B7:D14,2,FALSE)</f>
        <v>CityMed Pharmacy</v>
      </c>
      <c r="H112" s="20" t="str">
        <f>VLOOKUP(F112,'CUSTOMER INFO'!B7:D14,3,FALSE)</f>
        <v>Vikram Shah</v>
      </c>
      <c r="I112" s="20" t="s">
        <v>41</v>
      </c>
      <c r="J112" s="20" t="s">
        <v>95</v>
      </c>
      <c r="K112" s="19">
        <v>46178</v>
      </c>
      <c r="L112" s="20">
        <v>25</v>
      </c>
      <c r="M112" s="21">
        <v>48</v>
      </c>
      <c r="N112" s="22">
        <f t="shared" si="7"/>
        <v>1200</v>
      </c>
      <c r="O112" s="24" t="str">
        <f t="shared" si="4"/>
        <v>N</v>
      </c>
      <c r="P112" s="21">
        <f t="shared" si="5"/>
        <v>1200</v>
      </c>
    </row>
    <row r="113" spans="1:16">
      <c r="A113" s="18">
        <v>210</v>
      </c>
      <c r="B113" s="19">
        <v>45492</v>
      </c>
      <c r="C113" s="20" t="str">
        <f t="shared" si="6"/>
        <v>Jul</v>
      </c>
      <c r="D113" s="20" t="s">
        <v>6</v>
      </c>
      <c r="E113" s="20" t="s">
        <v>51</v>
      </c>
      <c r="F113" s="20" t="s">
        <v>58</v>
      </c>
      <c r="G113" s="20" t="str">
        <f>VLOOKUP(F113,'CUSTOMER INFO'!B8:D15,2,FALSE)</f>
        <v>TrustCare Medicals</v>
      </c>
      <c r="H113" s="20" t="str">
        <f>VLOOKUP(F113,'CUSTOMER INFO'!B8:D15,3,FALSE)</f>
        <v>Pooja Sharma</v>
      </c>
      <c r="I113" s="20" t="s">
        <v>45</v>
      </c>
      <c r="J113" s="20" t="s">
        <v>96</v>
      </c>
      <c r="K113" s="19">
        <v>46297</v>
      </c>
      <c r="L113" s="20">
        <v>35</v>
      </c>
      <c r="M113" s="21">
        <v>95</v>
      </c>
      <c r="N113" s="22">
        <f t="shared" si="7"/>
        <v>3325</v>
      </c>
      <c r="O113" s="24" t="str">
        <f t="shared" si="4"/>
        <v>N</v>
      </c>
      <c r="P113" s="21">
        <f t="shared" si="5"/>
        <v>3325</v>
      </c>
    </row>
    <row r="114" spans="1:16">
      <c r="A114" s="18">
        <v>211</v>
      </c>
      <c r="B114" s="19">
        <v>45493</v>
      </c>
      <c r="C114" s="20" t="str">
        <f t="shared" si="6"/>
        <v>Jul</v>
      </c>
      <c r="D114" s="20" t="s">
        <v>9</v>
      </c>
      <c r="E114" s="20" t="s">
        <v>39</v>
      </c>
      <c r="F114" s="20" t="s">
        <v>61</v>
      </c>
      <c r="G114" s="20" t="str">
        <f>VLOOKUP(F114,'CUSTOMER INFO'!B9:D16,2,FALSE)</f>
        <v>Lifeline Medicals</v>
      </c>
      <c r="H114" s="20" t="str">
        <f>VLOOKUP(F114,'CUSTOMER INFO'!B9:D16,3,FALSE)</f>
        <v>Harshal Singh</v>
      </c>
      <c r="I114" s="20" t="s">
        <v>49</v>
      </c>
      <c r="J114" s="20" t="s">
        <v>97</v>
      </c>
      <c r="K114" s="19">
        <v>46357</v>
      </c>
      <c r="L114" s="20">
        <v>38</v>
      </c>
      <c r="M114" s="21">
        <v>18</v>
      </c>
      <c r="N114" s="22">
        <f t="shared" si="7"/>
        <v>684</v>
      </c>
      <c r="O114" s="24" t="str">
        <f t="shared" si="4"/>
        <v>N</v>
      </c>
      <c r="P114" s="21">
        <f t="shared" si="5"/>
        <v>684</v>
      </c>
    </row>
    <row r="115" spans="1:16">
      <c r="A115" s="18">
        <v>212</v>
      </c>
      <c r="B115" s="19">
        <v>45494</v>
      </c>
      <c r="C115" s="20" t="str">
        <f t="shared" si="6"/>
        <v>Jul</v>
      </c>
      <c r="D115" s="20" t="s">
        <v>7</v>
      </c>
      <c r="E115" s="20" t="s">
        <v>43</v>
      </c>
      <c r="F115" s="20" t="s">
        <v>64</v>
      </c>
      <c r="G115" s="20" t="str">
        <f>VLOOKUP(F115,'CUSTOMER INFO'!B10:D17,2,FALSE)</f>
        <v>CarePlus Medical Store</v>
      </c>
      <c r="H115" s="20" t="str">
        <f>VLOOKUP(F115,'CUSTOMER INFO'!B10:D17,3,FALSE)</f>
        <v>Riya Mishra</v>
      </c>
      <c r="I115" s="20" t="s">
        <v>53</v>
      </c>
      <c r="J115" s="20" t="s">
        <v>98</v>
      </c>
      <c r="K115" s="19">
        <v>46235</v>
      </c>
      <c r="L115" s="20">
        <v>28</v>
      </c>
      <c r="M115" s="21">
        <v>75</v>
      </c>
      <c r="N115" s="22">
        <f t="shared" si="7"/>
        <v>2100</v>
      </c>
      <c r="O115" s="24" t="str">
        <f t="shared" si="4"/>
        <v>N</v>
      </c>
      <c r="P115" s="21">
        <f t="shared" si="5"/>
        <v>2100</v>
      </c>
    </row>
    <row r="116" spans="1:16">
      <c r="A116" s="18">
        <v>213</v>
      </c>
      <c r="B116" s="19">
        <v>45495</v>
      </c>
      <c r="C116" s="20" t="str">
        <f t="shared" si="6"/>
        <v>Jul</v>
      </c>
      <c r="D116" s="20" t="s">
        <v>3</v>
      </c>
      <c r="E116" s="20" t="s">
        <v>39</v>
      </c>
      <c r="F116" s="20" t="s">
        <v>40</v>
      </c>
      <c r="G116" s="20" t="str">
        <f>VLOOKUP(F116,'CUSTOMER INFO'!B3:D10,2,FALSE)</f>
        <v>Shree Medical &amp; General Store</v>
      </c>
      <c r="H116" s="20" t="str">
        <f>VLOOKUP(F116,'CUSTOMER INFO'!B3:D10,3,FALSE)</f>
        <v>Abhijeet Kulkarni</v>
      </c>
      <c r="I116" s="20" t="s">
        <v>56</v>
      </c>
      <c r="J116" s="20" t="s">
        <v>99</v>
      </c>
      <c r="K116" s="19">
        <v>45870</v>
      </c>
      <c r="L116" s="20">
        <v>54</v>
      </c>
      <c r="M116" s="21">
        <v>55</v>
      </c>
      <c r="N116" s="22">
        <f t="shared" si="7"/>
        <v>2970</v>
      </c>
      <c r="O116" s="24" t="str">
        <f t="shared" si="4"/>
        <v>N</v>
      </c>
      <c r="P116" s="21">
        <f t="shared" si="5"/>
        <v>2970</v>
      </c>
    </row>
    <row r="117" spans="1:16">
      <c r="A117" s="18">
        <v>214</v>
      </c>
      <c r="B117" s="19">
        <v>45496</v>
      </c>
      <c r="C117" s="20" t="str">
        <f t="shared" si="6"/>
        <v>Jul</v>
      </c>
      <c r="D117" s="20" t="s">
        <v>8</v>
      </c>
      <c r="E117" s="20" t="s">
        <v>43</v>
      </c>
      <c r="F117" s="20" t="s">
        <v>44</v>
      </c>
      <c r="G117" s="20" t="str">
        <f>VLOOKUP(F117,'CUSTOMER INFO'!B4:D11,2,FALSE)</f>
        <v>JeevanCare Medical Store</v>
      </c>
      <c r="H117" s="20" t="str">
        <f>VLOOKUP(F117,'CUSTOMER INFO'!B4:D11,3,FALSE)</f>
        <v>Neha Patel</v>
      </c>
      <c r="I117" s="20" t="s">
        <v>59</v>
      </c>
      <c r="J117" s="20" t="s">
        <v>100</v>
      </c>
      <c r="K117" s="19">
        <v>46266</v>
      </c>
      <c r="L117" s="20">
        <v>35</v>
      </c>
      <c r="M117" s="21">
        <v>32</v>
      </c>
      <c r="N117" s="22">
        <f t="shared" si="7"/>
        <v>1120</v>
      </c>
      <c r="O117" s="24" t="str">
        <f t="shared" si="4"/>
        <v>N</v>
      </c>
      <c r="P117" s="21">
        <f t="shared" si="5"/>
        <v>1120</v>
      </c>
    </row>
    <row r="118" spans="1:16">
      <c r="A118" s="18">
        <v>215</v>
      </c>
      <c r="B118" s="19">
        <v>45497</v>
      </c>
      <c r="C118" s="20" t="str">
        <f t="shared" si="6"/>
        <v>Jul</v>
      </c>
      <c r="D118" s="20" t="s">
        <v>5</v>
      </c>
      <c r="E118" s="20" t="s">
        <v>47</v>
      </c>
      <c r="F118" s="20" t="s">
        <v>48</v>
      </c>
      <c r="G118" s="20" t="str">
        <f>VLOOKUP(F118,'CUSTOMER INFO'!B5:D12,2,FALSE)</f>
        <v>Arogya Medical &amp; General</v>
      </c>
      <c r="H118" s="20" t="str">
        <f>VLOOKUP(F118,'CUSTOMER INFO'!B5:D12,3,FALSE)</f>
        <v>Hrishkesh Jadhv</v>
      </c>
      <c r="I118" s="20" t="s">
        <v>62</v>
      </c>
      <c r="J118" s="20" t="s">
        <v>101</v>
      </c>
      <c r="K118" s="19">
        <v>45870</v>
      </c>
      <c r="L118" s="20">
        <v>45</v>
      </c>
      <c r="M118" s="21">
        <v>90</v>
      </c>
      <c r="N118" s="22">
        <f t="shared" si="7"/>
        <v>4050</v>
      </c>
      <c r="O118" s="24" t="str">
        <f t="shared" si="4"/>
        <v>N</v>
      </c>
      <c r="P118" s="21">
        <f t="shared" si="5"/>
        <v>4050</v>
      </c>
    </row>
    <row r="119" spans="1:16">
      <c r="A119" s="18">
        <v>216</v>
      </c>
      <c r="B119" s="19">
        <v>45498</v>
      </c>
      <c r="C119" s="20" t="str">
        <f t="shared" si="6"/>
        <v>Jul</v>
      </c>
      <c r="D119" s="20" t="s">
        <v>10</v>
      </c>
      <c r="E119" s="20" t="s">
        <v>51</v>
      </c>
      <c r="F119" s="20" t="s">
        <v>52</v>
      </c>
      <c r="G119" s="20" t="str">
        <f>VLOOKUP(F119,'CUSTOMER INFO'!B6:D13,2,FALSE)</f>
        <v>MedEase</v>
      </c>
      <c r="H119" s="20" t="str">
        <f>VLOOKUP(F119,'CUSTOMER INFO'!B6:D13,3,FALSE)</f>
        <v>Siddant Patil</v>
      </c>
      <c r="I119" s="20" t="s">
        <v>65</v>
      </c>
      <c r="J119" s="20" t="s">
        <v>102</v>
      </c>
      <c r="K119" s="19">
        <v>46266</v>
      </c>
      <c r="L119" s="20">
        <v>25</v>
      </c>
      <c r="M119" s="21">
        <v>20</v>
      </c>
      <c r="N119" s="22">
        <f t="shared" si="7"/>
        <v>500</v>
      </c>
      <c r="O119" s="24" t="str">
        <f t="shared" si="4"/>
        <v>N</v>
      </c>
      <c r="P119" s="21">
        <f t="shared" si="5"/>
        <v>500</v>
      </c>
    </row>
    <row r="120" spans="1:16">
      <c r="A120" s="18">
        <v>217</v>
      </c>
      <c r="B120" s="19">
        <v>45499</v>
      </c>
      <c r="C120" s="20" t="str">
        <f t="shared" si="6"/>
        <v>Jul</v>
      </c>
      <c r="D120" s="20" t="s">
        <v>4</v>
      </c>
      <c r="E120" s="20" t="s">
        <v>39</v>
      </c>
      <c r="F120" s="20" t="s">
        <v>55</v>
      </c>
      <c r="G120" s="20" t="str">
        <f>VLOOKUP(F120,'CUSTOMER INFO'!B7:D14,2,FALSE)</f>
        <v>CityMed Pharmacy</v>
      </c>
      <c r="H120" s="20" t="str">
        <f>VLOOKUP(F120,'CUSTOMER INFO'!B7:D14,3,FALSE)</f>
        <v>Vikram Shah</v>
      </c>
      <c r="I120" s="20" t="s">
        <v>67</v>
      </c>
      <c r="J120" s="20" t="s">
        <v>103</v>
      </c>
      <c r="K120" s="19">
        <v>46357</v>
      </c>
      <c r="L120" s="20">
        <v>35</v>
      </c>
      <c r="M120" s="21">
        <v>35</v>
      </c>
      <c r="N120" s="22">
        <f t="shared" si="7"/>
        <v>1225</v>
      </c>
      <c r="O120" s="24" t="str">
        <f t="shared" si="4"/>
        <v>N</v>
      </c>
      <c r="P120" s="21">
        <f t="shared" si="5"/>
        <v>1225</v>
      </c>
    </row>
    <row r="121" spans="1:16">
      <c r="A121" s="18">
        <v>218</v>
      </c>
      <c r="B121" s="19">
        <v>45500</v>
      </c>
      <c r="C121" s="20" t="str">
        <f t="shared" si="6"/>
        <v>Jul</v>
      </c>
      <c r="D121" s="20" t="s">
        <v>6</v>
      </c>
      <c r="E121" s="20" t="s">
        <v>43</v>
      </c>
      <c r="F121" s="20" t="s">
        <v>58</v>
      </c>
      <c r="G121" s="20" t="str">
        <f>VLOOKUP(F121,'CUSTOMER INFO'!B8:D15,2,FALSE)</f>
        <v>TrustCare Medicals</v>
      </c>
      <c r="H121" s="20" t="str">
        <f>VLOOKUP(F121,'CUSTOMER INFO'!B8:D15,3,FALSE)</f>
        <v>Pooja Sharma</v>
      </c>
      <c r="I121" s="20" t="s">
        <v>69</v>
      </c>
      <c r="J121" s="20" t="s">
        <v>104</v>
      </c>
      <c r="K121" s="19">
        <v>46296</v>
      </c>
      <c r="L121" s="20">
        <v>22</v>
      </c>
      <c r="M121" s="21">
        <v>42</v>
      </c>
      <c r="N121" s="22">
        <f t="shared" si="7"/>
        <v>924</v>
      </c>
      <c r="O121" s="24" t="str">
        <f t="shared" si="4"/>
        <v>N</v>
      </c>
      <c r="P121" s="21">
        <f t="shared" si="5"/>
        <v>924</v>
      </c>
    </row>
    <row r="122" spans="1:16">
      <c r="A122" s="18">
        <v>219</v>
      </c>
      <c r="B122" s="19">
        <v>45501</v>
      </c>
      <c r="C122" s="20" t="str">
        <f t="shared" si="6"/>
        <v>Jul</v>
      </c>
      <c r="D122" s="20" t="s">
        <v>9</v>
      </c>
      <c r="E122" s="20" t="s">
        <v>47</v>
      </c>
      <c r="F122" s="20" t="s">
        <v>61</v>
      </c>
      <c r="G122" s="20" t="str">
        <f>VLOOKUP(F122,'CUSTOMER INFO'!B9:D16,2,FALSE)</f>
        <v>Lifeline Medicals</v>
      </c>
      <c r="H122" s="20" t="str">
        <f>VLOOKUP(F122,'CUSTOMER INFO'!B9:D16,3,FALSE)</f>
        <v>Harshal Singh</v>
      </c>
      <c r="I122" s="20" t="s">
        <v>71</v>
      </c>
      <c r="J122" s="20" t="s">
        <v>105</v>
      </c>
      <c r="K122" s="19">
        <v>46083</v>
      </c>
      <c r="L122" s="20">
        <v>62</v>
      </c>
      <c r="M122" s="21">
        <v>22</v>
      </c>
      <c r="N122" s="22">
        <f t="shared" si="7"/>
        <v>1364</v>
      </c>
      <c r="O122" s="24" t="str">
        <f t="shared" si="4"/>
        <v>Y</v>
      </c>
      <c r="P122" s="21">
        <f t="shared" si="5"/>
        <v>1295.8</v>
      </c>
    </row>
    <row r="123" spans="1:16">
      <c r="A123" s="18">
        <v>220</v>
      </c>
      <c r="B123" s="19">
        <v>45502</v>
      </c>
      <c r="C123" s="20" t="str">
        <f t="shared" si="6"/>
        <v>Jul</v>
      </c>
      <c r="D123" s="20" t="s">
        <v>9</v>
      </c>
      <c r="E123" s="20" t="s">
        <v>51</v>
      </c>
      <c r="F123" s="20" t="s">
        <v>64</v>
      </c>
      <c r="G123" s="20" t="str">
        <f>VLOOKUP(F123,'CUSTOMER INFO'!B10:D17,2,FALSE)</f>
        <v>CarePlus Medical Store</v>
      </c>
      <c r="H123" s="20" t="str">
        <f>VLOOKUP(F123,'CUSTOMER INFO'!B10:D17,3,FALSE)</f>
        <v>Riya Mishra</v>
      </c>
      <c r="I123" s="20" t="s">
        <v>41</v>
      </c>
      <c r="J123" s="20" t="s">
        <v>106</v>
      </c>
      <c r="K123" s="19">
        <v>46381</v>
      </c>
      <c r="L123" s="20">
        <v>32</v>
      </c>
      <c r="M123" s="21">
        <v>48</v>
      </c>
      <c r="N123" s="22">
        <f t="shared" si="7"/>
        <v>1536</v>
      </c>
      <c r="O123" s="24" t="str">
        <f t="shared" si="4"/>
        <v>N</v>
      </c>
      <c r="P123" s="21">
        <f t="shared" si="5"/>
        <v>1536</v>
      </c>
    </row>
    <row r="124" spans="1:16">
      <c r="A124" s="18">
        <v>221</v>
      </c>
      <c r="B124" s="19">
        <v>45503</v>
      </c>
      <c r="C124" s="20" t="str">
        <f t="shared" si="6"/>
        <v>Jul</v>
      </c>
      <c r="D124" s="20" t="s">
        <v>7</v>
      </c>
      <c r="E124" s="20" t="s">
        <v>39</v>
      </c>
      <c r="F124" s="20" t="s">
        <v>40</v>
      </c>
      <c r="G124" s="20" t="str">
        <f>VLOOKUP(F124,'CUSTOMER INFO'!B3:D10,2,FALSE)</f>
        <v>Shree Medical &amp; General Store</v>
      </c>
      <c r="H124" s="20" t="str">
        <f>VLOOKUP(F124,'CUSTOMER INFO'!B3:D10,3,FALSE)</f>
        <v>Abhijeet Kulkarni</v>
      </c>
      <c r="I124" s="20" t="s">
        <v>45</v>
      </c>
      <c r="J124" s="20" t="s">
        <v>107</v>
      </c>
      <c r="K124" s="19">
        <v>46115</v>
      </c>
      <c r="L124" s="20">
        <v>65</v>
      </c>
      <c r="M124" s="21">
        <v>95</v>
      </c>
      <c r="N124" s="22">
        <f t="shared" si="7"/>
        <v>6175</v>
      </c>
      <c r="O124" s="24" t="str">
        <f t="shared" si="4"/>
        <v>Y</v>
      </c>
      <c r="P124" s="21">
        <f t="shared" si="5"/>
        <v>5866.25</v>
      </c>
    </row>
    <row r="125" spans="1:16">
      <c r="A125" s="18">
        <v>222</v>
      </c>
      <c r="B125" s="19">
        <v>45504</v>
      </c>
      <c r="C125" s="20" t="str">
        <f t="shared" si="6"/>
        <v>Jul</v>
      </c>
      <c r="D125" s="20" t="s">
        <v>3</v>
      </c>
      <c r="E125" s="20" t="s">
        <v>43</v>
      </c>
      <c r="F125" s="20" t="s">
        <v>44</v>
      </c>
      <c r="G125" s="20" t="str">
        <f>VLOOKUP(F125,'CUSTOMER INFO'!B4:D11,2,FALSE)</f>
        <v>JeevanCare Medical Store</v>
      </c>
      <c r="H125" s="20" t="str">
        <f>VLOOKUP(F125,'CUSTOMER INFO'!B4:D11,3,FALSE)</f>
        <v>Neha Patel</v>
      </c>
      <c r="I125" s="20" t="s">
        <v>49</v>
      </c>
      <c r="J125" s="20" t="s">
        <v>108</v>
      </c>
      <c r="K125" s="19">
        <v>46178</v>
      </c>
      <c r="L125" s="20">
        <v>48</v>
      </c>
      <c r="M125" s="21">
        <v>18</v>
      </c>
      <c r="N125" s="22">
        <f t="shared" si="7"/>
        <v>864</v>
      </c>
      <c r="O125" s="24" t="str">
        <f t="shared" si="4"/>
        <v>N</v>
      </c>
      <c r="P125" s="21">
        <f t="shared" si="5"/>
        <v>864</v>
      </c>
    </row>
    <row r="126" spans="1:16">
      <c r="A126" s="18">
        <v>223</v>
      </c>
      <c r="B126" s="19">
        <v>45505</v>
      </c>
      <c r="C126" s="20" t="str">
        <f t="shared" si="6"/>
        <v>Aug</v>
      </c>
      <c r="D126" s="20" t="s">
        <v>8</v>
      </c>
      <c r="E126" s="20" t="s">
        <v>47</v>
      </c>
      <c r="F126" s="20" t="s">
        <v>48</v>
      </c>
      <c r="G126" s="20" t="str">
        <f>VLOOKUP(F126,'CUSTOMER INFO'!B5:D12,2,FALSE)</f>
        <v>Arogya Medical &amp; General</v>
      </c>
      <c r="H126" s="20" t="str">
        <f>VLOOKUP(F126,'CUSTOMER INFO'!B5:D12,3,FALSE)</f>
        <v>Hrishkesh Jadhv</v>
      </c>
      <c r="I126" s="20" t="s">
        <v>53</v>
      </c>
      <c r="J126" s="20" t="s">
        <v>109</v>
      </c>
      <c r="K126" s="19">
        <v>46297</v>
      </c>
      <c r="L126" s="20">
        <v>54</v>
      </c>
      <c r="M126" s="21">
        <v>75</v>
      </c>
      <c r="N126" s="22">
        <f t="shared" si="7"/>
        <v>4050</v>
      </c>
      <c r="O126" s="24" t="str">
        <f t="shared" si="4"/>
        <v>N</v>
      </c>
      <c r="P126" s="21">
        <f t="shared" si="5"/>
        <v>4050</v>
      </c>
    </row>
    <row r="127" spans="1:16">
      <c r="A127" s="18">
        <v>224</v>
      </c>
      <c r="B127" s="19">
        <v>45506</v>
      </c>
      <c r="C127" s="20" t="str">
        <f t="shared" si="6"/>
        <v>Aug</v>
      </c>
      <c r="D127" s="20" t="s">
        <v>5</v>
      </c>
      <c r="E127" s="20" t="s">
        <v>51</v>
      </c>
      <c r="F127" s="20" t="s">
        <v>52</v>
      </c>
      <c r="G127" s="20" t="str">
        <f>VLOOKUP(F127,'CUSTOMER INFO'!B6:D13,2,FALSE)</f>
        <v>MedEase</v>
      </c>
      <c r="H127" s="20" t="str">
        <f>VLOOKUP(F127,'CUSTOMER INFO'!B6:D13,3,FALSE)</f>
        <v>Siddant Patil</v>
      </c>
      <c r="I127" s="20" t="s">
        <v>56</v>
      </c>
      <c r="J127" s="20" t="s">
        <v>110</v>
      </c>
      <c r="K127" s="19">
        <v>46357</v>
      </c>
      <c r="L127" s="20">
        <v>25</v>
      </c>
      <c r="M127" s="21">
        <v>55</v>
      </c>
      <c r="N127" s="22">
        <f t="shared" si="7"/>
        <v>1375</v>
      </c>
      <c r="O127" s="24" t="str">
        <f t="shared" si="4"/>
        <v>N</v>
      </c>
      <c r="P127" s="21">
        <f t="shared" si="5"/>
        <v>1375</v>
      </c>
    </row>
    <row r="128" spans="1:16">
      <c r="A128" s="18">
        <v>225</v>
      </c>
      <c r="B128" s="19">
        <v>45507</v>
      </c>
      <c r="C128" s="20" t="str">
        <f t="shared" si="6"/>
        <v>Aug</v>
      </c>
      <c r="D128" s="20" t="s">
        <v>10</v>
      </c>
      <c r="E128" s="20" t="s">
        <v>39</v>
      </c>
      <c r="F128" s="20" t="s">
        <v>55</v>
      </c>
      <c r="G128" s="20" t="str">
        <f>VLOOKUP(F128,'CUSTOMER INFO'!B7:D14,2,FALSE)</f>
        <v>CityMed Pharmacy</v>
      </c>
      <c r="H128" s="20" t="str">
        <f>VLOOKUP(F128,'CUSTOMER INFO'!B7:D14,3,FALSE)</f>
        <v>Vikram Shah</v>
      </c>
      <c r="I128" s="20" t="s">
        <v>59</v>
      </c>
      <c r="J128" s="20" t="s">
        <v>111</v>
      </c>
      <c r="K128" s="19">
        <v>46235</v>
      </c>
      <c r="L128" s="20">
        <v>35</v>
      </c>
      <c r="M128" s="21">
        <v>32</v>
      </c>
      <c r="N128" s="22">
        <f t="shared" si="7"/>
        <v>1120</v>
      </c>
      <c r="O128" s="24" t="str">
        <f t="shared" si="4"/>
        <v>N</v>
      </c>
      <c r="P128" s="21">
        <f t="shared" si="5"/>
        <v>1120</v>
      </c>
    </row>
    <row r="129" spans="1:16">
      <c r="A129" s="18">
        <v>226</v>
      </c>
      <c r="B129" s="19">
        <v>45508</v>
      </c>
      <c r="C129" s="20" t="str">
        <f t="shared" si="6"/>
        <v>Aug</v>
      </c>
      <c r="D129" s="20" t="s">
        <v>4</v>
      </c>
      <c r="E129" s="20" t="s">
        <v>43</v>
      </c>
      <c r="F129" s="20" t="s">
        <v>58</v>
      </c>
      <c r="G129" s="20" t="str">
        <f>VLOOKUP(F129,'CUSTOMER INFO'!B8:D15,2,FALSE)</f>
        <v>TrustCare Medicals</v>
      </c>
      <c r="H129" s="20" t="str">
        <f>VLOOKUP(F129,'CUSTOMER INFO'!B8:D15,3,FALSE)</f>
        <v>Pooja Sharma</v>
      </c>
      <c r="I129" s="20" t="s">
        <v>62</v>
      </c>
      <c r="J129" s="20" t="s">
        <v>112</v>
      </c>
      <c r="K129" s="19">
        <v>45870</v>
      </c>
      <c r="L129" s="20">
        <v>38</v>
      </c>
      <c r="M129" s="21">
        <v>90</v>
      </c>
      <c r="N129" s="22">
        <f t="shared" si="7"/>
        <v>3420</v>
      </c>
      <c r="O129" s="24" t="str">
        <f t="shared" si="4"/>
        <v>N</v>
      </c>
      <c r="P129" s="21">
        <f t="shared" si="5"/>
        <v>3420</v>
      </c>
    </row>
    <row r="130" spans="1:16">
      <c r="A130" s="18">
        <v>227</v>
      </c>
      <c r="B130" s="19">
        <v>45509</v>
      </c>
      <c r="C130" s="20" t="str">
        <f t="shared" si="6"/>
        <v>Aug</v>
      </c>
      <c r="D130" s="20" t="s">
        <v>6</v>
      </c>
      <c r="E130" s="20" t="s">
        <v>39</v>
      </c>
      <c r="F130" s="20" t="s">
        <v>61</v>
      </c>
      <c r="G130" s="20" t="str">
        <f>VLOOKUP(F130,'CUSTOMER INFO'!B9:D16,2,FALSE)</f>
        <v>Lifeline Medicals</v>
      </c>
      <c r="H130" s="20" t="str">
        <f>VLOOKUP(F130,'CUSTOMER INFO'!B9:D16,3,FALSE)</f>
        <v>Harshal Singh</v>
      </c>
      <c r="I130" s="20" t="s">
        <v>41</v>
      </c>
      <c r="J130" s="20" t="s">
        <v>106</v>
      </c>
      <c r="K130" s="19">
        <v>46266</v>
      </c>
      <c r="L130" s="20">
        <v>28</v>
      </c>
      <c r="M130" s="21">
        <v>20</v>
      </c>
      <c r="N130" s="22">
        <f t="shared" si="7"/>
        <v>560</v>
      </c>
      <c r="O130" s="24" t="str">
        <f t="shared" si="4"/>
        <v>N</v>
      </c>
      <c r="P130" s="21">
        <f t="shared" si="5"/>
        <v>560</v>
      </c>
    </row>
    <row r="131" spans="1:16">
      <c r="A131" s="18">
        <v>228</v>
      </c>
      <c r="B131" s="19">
        <v>45510</v>
      </c>
      <c r="C131" s="20" t="str">
        <f t="shared" si="6"/>
        <v>Aug</v>
      </c>
      <c r="D131" s="20" t="s">
        <v>9</v>
      </c>
      <c r="E131" s="20" t="s">
        <v>43</v>
      </c>
      <c r="F131" s="20" t="s">
        <v>64</v>
      </c>
      <c r="G131" s="20" t="str">
        <f>VLOOKUP(F131,'CUSTOMER INFO'!B10:D17,2,FALSE)</f>
        <v>CarePlus Medical Store</v>
      </c>
      <c r="H131" s="20" t="str">
        <f>VLOOKUP(F131,'CUSTOMER INFO'!B10:D17,3,FALSE)</f>
        <v>Riya Mishra</v>
      </c>
      <c r="I131" s="20" t="s">
        <v>45</v>
      </c>
      <c r="J131" s="20" t="s">
        <v>107</v>
      </c>
      <c r="K131" s="19">
        <v>45870</v>
      </c>
      <c r="L131" s="20">
        <v>54</v>
      </c>
      <c r="M131" s="21">
        <v>35</v>
      </c>
      <c r="N131" s="22">
        <f t="shared" si="7"/>
        <v>1890</v>
      </c>
      <c r="O131" s="24" t="str">
        <f t="shared" si="4"/>
        <v>N</v>
      </c>
      <c r="P131" s="21">
        <f t="shared" si="5"/>
        <v>1890</v>
      </c>
    </row>
    <row r="132" spans="1:16">
      <c r="A132" s="18">
        <v>229</v>
      </c>
      <c r="B132" s="19">
        <v>45511</v>
      </c>
      <c r="C132" s="20" t="str">
        <f t="shared" si="6"/>
        <v>Aug</v>
      </c>
      <c r="D132" s="20" t="s">
        <v>7</v>
      </c>
      <c r="E132" s="20" t="s">
        <v>47</v>
      </c>
      <c r="F132" s="20" t="s">
        <v>40</v>
      </c>
      <c r="G132" s="20" t="str">
        <f>VLOOKUP(F132,'CUSTOMER INFO'!B3:D10,2,TRUE)</f>
        <v>Shree Medical &amp; General Store</v>
      </c>
      <c r="H132" s="20" t="str">
        <f>VLOOKUP(F132,'CUSTOMER INFO'!B3:D10,3,FALSE)</f>
        <v>Abhijeet Kulkarni</v>
      </c>
      <c r="I132" s="20" t="s">
        <v>49</v>
      </c>
      <c r="J132" s="20" t="s">
        <v>108</v>
      </c>
      <c r="K132" s="19">
        <v>46266</v>
      </c>
      <c r="L132" s="20">
        <v>35</v>
      </c>
      <c r="M132" s="21">
        <v>42</v>
      </c>
      <c r="N132" s="22">
        <f t="shared" si="7"/>
        <v>1470</v>
      </c>
      <c r="O132" s="24" t="str">
        <f t="shared" ref="O132:O195" si="8">IF(L132&gt;=60,"Y","N")</f>
        <v>N</v>
      </c>
      <c r="P132" s="21">
        <f t="shared" ref="P132:P195" si="9">IF(L132&gt;=60,0.95*N132,N132)</f>
        <v>1470</v>
      </c>
    </row>
    <row r="133" spans="1:16">
      <c r="A133" s="18">
        <v>230</v>
      </c>
      <c r="B133" s="19">
        <v>45512</v>
      </c>
      <c r="C133" s="20" t="str">
        <f t="shared" ref="C133:C196" si="10">TEXT(B133,"mmm")</f>
        <v>Aug</v>
      </c>
      <c r="D133" s="20" t="s">
        <v>3</v>
      </c>
      <c r="E133" s="20" t="s">
        <v>51</v>
      </c>
      <c r="F133" s="20" t="s">
        <v>44</v>
      </c>
      <c r="G133" s="20" t="str">
        <f>VLOOKUP(F133,'CUSTOMER INFO'!B4:D11,2,TRUE)</f>
        <v>JeevanCare Medical Store</v>
      </c>
      <c r="H133" s="20" t="str">
        <f>VLOOKUP(F133,'CUSTOMER INFO'!B4:D11,3,FALSE)</f>
        <v>Neha Patel</v>
      </c>
      <c r="I133" s="20" t="s">
        <v>53</v>
      </c>
      <c r="J133" s="20" t="s">
        <v>109</v>
      </c>
      <c r="K133" s="19">
        <v>46357</v>
      </c>
      <c r="L133" s="20">
        <v>45</v>
      </c>
      <c r="M133" s="21">
        <v>22</v>
      </c>
      <c r="N133" s="22">
        <f t="shared" ref="N133:N196" si="11">L133*M133</f>
        <v>990</v>
      </c>
      <c r="O133" s="24" t="str">
        <f t="shared" si="8"/>
        <v>N</v>
      </c>
      <c r="P133" s="21">
        <f t="shared" si="9"/>
        <v>990</v>
      </c>
    </row>
    <row r="134" spans="1:16">
      <c r="A134" s="18">
        <v>231</v>
      </c>
      <c r="B134" s="19">
        <v>45513</v>
      </c>
      <c r="C134" s="20" t="str">
        <f t="shared" si="10"/>
        <v>Aug</v>
      </c>
      <c r="D134" s="20" t="s">
        <v>8</v>
      </c>
      <c r="E134" s="20" t="s">
        <v>39</v>
      </c>
      <c r="F134" s="20" t="s">
        <v>48</v>
      </c>
      <c r="G134" s="20" t="str">
        <f>VLOOKUP(F134,'CUSTOMER INFO'!B5:D12,2,TRUE)</f>
        <v>Arogya Medical &amp; General</v>
      </c>
      <c r="H134" s="20" t="str">
        <f>VLOOKUP(F134,'CUSTOMER INFO'!B5:D12,3,FALSE)</f>
        <v>Hrishkesh Jadhv</v>
      </c>
      <c r="I134" s="20" t="s">
        <v>56</v>
      </c>
      <c r="J134" s="20" t="s">
        <v>110</v>
      </c>
      <c r="K134" s="19">
        <v>46296</v>
      </c>
      <c r="L134" s="20">
        <v>25</v>
      </c>
      <c r="M134" s="21">
        <v>48</v>
      </c>
      <c r="N134" s="22">
        <f t="shared" si="11"/>
        <v>1200</v>
      </c>
      <c r="O134" s="24" t="str">
        <f t="shared" si="8"/>
        <v>N</v>
      </c>
      <c r="P134" s="21">
        <f t="shared" si="9"/>
        <v>1200</v>
      </c>
    </row>
    <row r="135" spans="1:16">
      <c r="A135" s="18">
        <v>232</v>
      </c>
      <c r="B135" s="19">
        <v>45514</v>
      </c>
      <c r="C135" s="20" t="str">
        <f t="shared" si="10"/>
        <v>Aug</v>
      </c>
      <c r="D135" s="20" t="s">
        <v>5</v>
      </c>
      <c r="E135" s="20" t="s">
        <v>43</v>
      </c>
      <c r="F135" s="20" t="s">
        <v>52</v>
      </c>
      <c r="G135" s="20" t="str">
        <f>VLOOKUP(F135,'CUSTOMER INFO'!B6:D13,2,TRUE)</f>
        <v>MedEase</v>
      </c>
      <c r="H135" s="20" t="str">
        <f>VLOOKUP(F135,'CUSTOMER INFO'!B6:D13,3,FALSE)</f>
        <v>Siddant Patil</v>
      </c>
      <c r="I135" s="20" t="s">
        <v>59</v>
      </c>
      <c r="J135" s="20" t="s">
        <v>111</v>
      </c>
      <c r="K135" s="19">
        <v>46083</v>
      </c>
      <c r="L135" s="20">
        <v>35</v>
      </c>
      <c r="M135" s="21">
        <v>95</v>
      </c>
      <c r="N135" s="22">
        <f t="shared" si="11"/>
        <v>3325</v>
      </c>
      <c r="O135" s="24" t="str">
        <f t="shared" si="8"/>
        <v>N</v>
      </c>
      <c r="P135" s="21">
        <f t="shared" si="9"/>
        <v>3325</v>
      </c>
    </row>
    <row r="136" spans="1:16">
      <c r="A136" s="18">
        <v>233</v>
      </c>
      <c r="B136" s="19">
        <v>45515</v>
      </c>
      <c r="C136" s="20" t="str">
        <f t="shared" si="10"/>
        <v>Aug</v>
      </c>
      <c r="D136" s="20" t="s">
        <v>10</v>
      </c>
      <c r="E136" s="20" t="s">
        <v>47</v>
      </c>
      <c r="F136" s="20" t="s">
        <v>55</v>
      </c>
      <c r="G136" s="20" t="str">
        <f>VLOOKUP(F136,'CUSTOMER INFO'!B7:D14,2,TRUE)</f>
        <v>CityMed Pharmacy</v>
      </c>
      <c r="H136" s="20" t="str">
        <f>VLOOKUP(F136,'CUSTOMER INFO'!B7:D14,3,FALSE)</f>
        <v>Vikram Shah</v>
      </c>
      <c r="I136" s="20" t="s">
        <v>62</v>
      </c>
      <c r="J136" s="20" t="s">
        <v>112</v>
      </c>
      <c r="K136" s="19">
        <v>46381</v>
      </c>
      <c r="L136" s="20">
        <v>22</v>
      </c>
      <c r="M136" s="21">
        <v>18</v>
      </c>
      <c r="N136" s="22">
        <f t="shared" si="11"/>
        <v>396</v>
      </c>
      <c r="O136" s="24" t="str">
        <f t="shared" si="8"/>
        <v>N</v>
      </c>
      <c r="P136" s="21">
        <f t="shared" si="9"/>
        <v>396</v>
      </c>
    </row>
    <row r="137" spans="1:16">
      <c r="A137" s="18">
        <v>234</v>
      </c>
      <c r="B137" s="19">
        <v>45516</v>
      </c>
      <c r="C137" s="20" t="str">
        <f t="shared" si="10"/>
        <v>Aug</v>
      </c>
      <c r="D137" s="20" t="s">
        <v>4</v>
      </c>
      <c r="E137" s="20" t="s">
        <v>51</v>
      </c>
      <c r="F137" s="20" t="s">
        <v>58</v>
      </c>
      <c r="G137" s="20" t="str">
        <f>VLOOKUP(F137,'CUSTOMER INFO'!B8:D15,2,TRUE)</f>
        <v>TrustCare Medicals</v>
      </c>
      <c r="H137" s="20" t="str">
        <f>VLOOKUP(F137,'CUSTOMER INFO'!B8:D15,3,FALSE)</f>
        <v>Pooja Sharma</v>
      </c>
      <c r="I137" s="20" t="s">
        <v>65</v>
      </c>
      <c r="J137" s="20" t="s">
        <v>113</v>
      </c>
      <c r="K137" s="19">
        <v>46115</v>
      </c>
      <c r="L137" s="20">
        <v>62</v>
      </c>
      <c r="M137" s="21">
        <v>75</v>
      </c>
      <c r="N137" s="22">
        <f t="shared" si="11"/>
        <v>4650</v>
      </c>
      <c r="O137" s="24" t="str">
        <f t="shared" si="8"/>
        <v>Y</v>
      </c>
      <c r="P137" s="21">
        <f t="shared" si="9"/>
        <v>4417.5</v>
      </c>
    </row>
    <row r="138" spans="1:16">
      <c r="A138" s="18">
        <v>235</v>
      </c>
      <c r="B138" s="19">
        <v>45517</v>
      </c>
      <c r="C138" s="20" t="str">
        <f t="shared" si="10"/>
        <v>Aug</v>
      </c>
      <c r="D138" s="20" t="s">
        <v>6</v>
      </c>
      <c r="E138" s="20" t="s">
        <v>39</v>
      </c>
      <c r="F138" s="20" t="s">
        <v>61</v>
      </c>
      <c r="G138" s="20" t="str">
        <f>VLOOKUP(F138,'CUSTOMER INFO'!B9:D16,2,TRUE)</f>
        <v>CarePlus Medical Store</v>
      </c>
      <c r="H138" s="20" t="str">
        <f>VLOOKUP(F138,'CUSTOMER INFO'!B9:D16,3,FALSE)</f>
        <v>Harshal Singh</v>
      </c>
      <c r="I138" s="20" t="s">
        <v>67</v>
      </c>
      <c r="J138" s="20" t="s">
        <v>114</v>
      </c>
      <c r="K138" s="19">
        <v>46178</v>
      </c>
      <c r="L138" s="20">
        <v>32</v>
      </c>
      <c r="M138" s="21">
        <v>55</v>
      </c>
      <c r="N138" s="22">
        <f t="shared" si="11"/>
        <v>1760</v>
      </c>
      <c r="O138" s="24" t="str">
        <f t="shared" si="8"/>
        <v>N</v>
      </c>
      <c r="P138" s="21">
        <f t="shared" si="9"/>
        <v>1760</v>
      </c>
    </row>
    <row r="139" spans="1:16">
      <c r="A139" s="18">
        <v>236</v>
      </c>
      <c r="B139" s="19">
        <v>45518</v>
      </c>
      <c r="C139" s="20" t="str">
        <f t="shared" si="10"/>
        <v>Aug</v>
      </c>
      <c r="D139" s="20" t="s">
        <v>9</v>
      </c>
      <c r="E139" s="20" t="s">
        <v>43</v>
      </c>
      <c r="F139" s="20" t="s">
        <v>64</v>
      </c>
      <c r="G139" s="20" t="str">
        <f>VLOOKUP(F139,'CUSTOMER INFO'!B10:D17,2,TRUE)</f>
        <v>CarePlus Medical Store</v>
      </c>
      <c r="H139" s="20" t="str">
        <f>VLOOKUP(F139,'CUSTOMER INFO'!B10:D17,3,FALSE)</f>
        <v>Riya Mishra</v>
      </c>
      <c r="I139" s="20" t="s">
        <v>41</v>
      </c>
      <c r="J139" s="20" t="s">
        <v>95</v>
      </c>
      <c r="K139" s="19">
        <v>46297</v>
      </c>
      <c r="L139" s="20">
        <v>65</v>
      </c>
      <c r="M139" s="21">
        <v>32</v>
      </c>
      <c r="N139" s="22">
        <f t="shared" si="11"/>
        <v>2080</v>
      </c>
      <c r="O139" s="24" t="str">
        <f t="shared" si="8"/>
        <v>Y</v>
      </c>
      <c r="P139" s="21">
        <f t="shared" si="9"/>
        <v>1976</v>
      </c>
    </row>
    <row r="140" spans="1:16">
      <c r="A140" s="18">
        <v>237</v>
      </c>
      <c r="B140" s="19">
        <v>45519</v>
      </c>
      <c r="C140" s="20" t="str">
        <f t="shared" si="10"/>
        <v>Aug</v>
      </c>
      <c r="D140" s="20" t="s">
        <v>9</v>
      </c>
      <c r="E140" s="20" t="s">
        <v>47</v>
      </c>
      <c r="F140" s="20" t="s">
        <v>40</v>
      </c>
      <c r="G140" s="20" t="str">
        <f>VLOOKUP(F140,'CUSTOMER INFO'!B3:D10,2,FALSE)</f>
        <v>Shree Medical &amp; General Store</v>
      </c>
      <c r="H140" s="20" t="str">
        <f>VLOOKUP(F140,'CUSTOMER INFO'!B3:D10,3,FALSE)</f>
        <v>Abhijeet Kulkarni</v>
      </c>
      <c r="I140" s="20" t="s">
        <v>45</v>
      </c>
      <c r="J140" s="20" t="s">
        <v>96</v>
      </c>
      <c r="K140" s="19">
        <v>46357</v>
      </c>
      <c r="L140" s="20">
        <v>48</v>
      </c>
      <c r="M140" s="21">
        <v>90</v>
      </c>
      <c r="N140" s="22">
        <f t="shared" si="11"/>
        <v>4320</v>
      </c>
      <c r="O140" s="24" t="str">
        <f t="shared" si="8"/>
        <v>N</v>
      </c>
      <c r="P140" s="21">
        <f t="shared" si="9"/>
        <v>4320</v>
      </c>
    </row>
    <row r="141" spans="1:16">
      <c r="A141" s="18">
        <v>238</v>
      </c>
      <c r="B141" s="19">
        <v>45520</v>
      </c>
      <c r="C141" s="20" t="str">
        <f t="shared" si="10"/>
        <v>Aug</v>
      </c>
      <c r="D141" s="20" t="s">
        <v>7</v>
      </c>
      <c r="E141" s="20" t="s">
        <v>51</v>
      </c>
      <c r="F141" s="20" t="s">
        <v>44</v>
      </c>
      <c r="G141" s="20" t="str">
        <f>VLOOKUP(F141,'CUSTOMER INFO'!B4:D11,2,FALSE)</f>
        <v>JeevanCare Medical Store</v>
      </c>
      <c r="H141" s="20" t="str">
        <f>VLOOKUP(F141,'CUSTOMER INFO'!B4:D11,3,FALSE)</f>
        <v>Neha Patel</v>
      </c>
      <c r="I141" s="20" t="s">
        <v>49</v>
      </c>
      <c r="J141" s="20" t="s">
        <v>97</v>
      </c>
      <c r="K141" s="19">
        <v>46235</v>
      </c>
      <c r="L141" s="20">
        <v>54</v>
      </c>
      <c r="M141" s="21">
        <v>20</v>
      </c>
      <c r="N141" s="22">
        <f t="shared" si="11"/>
        <v>1080</v>
      </c>
      <c r="O141" s="24" t="str">
        <f t="shared" si="8"/>
        <v>N</v>
      </c>
      <c r="P141" s="21">
        <f t="shared" si="9"/>
        <v>1080</v>
      </c>
    </row>
    <row r="142" spans="1:16">
      <c r="A142" s="18">
        <v>239</v>
      </c>
      <c r="B142" s="19">
        <v>45521</v>
      </c>
      <c r="C142" s="20" t="str">
        <f t="shared" si="10"/>
        <v>Aug</v>
      </c>
      <c r="D142" s="20" t="s">
        <v>3</v>
      </c>
      <c r="E142" s="20" t="s">
        <v>39</v>
      </c>
      <c r="F142" s="20" t="s">
        <v>48</v>
      </c>
      <c r="G142" s="20" t="str">
        <f>VLOOKUP(F142,'CUSTOMER INFO'!B5:D12,2,FALSE)</f>
        <v>Arogya Medical &amp; General</v>
      </c>
      <c r="H142" s="20" t="str">
        <f>VLOOKUP(F142,'CUSTOMER INFO'!B5:D12,3,FALSE)</f>
        <v>Hrishkesh Jadhv</v>
      </c>
      <c r="I142" s="20" t="s">
        <v>53</v>
      </c>
      <c r="J142" s="20" t="s">
        <v>98</v>
      </c>
      <c r="K142" s="19">
        <v>45870</v>
      </c>
      <c r="L142" s="20">
        <v>25</v>
      </c>
      <c r="M142" s="21">
        <v>35</v>
      </c>
      <c r="N142" s="22">
        <f t="shared" si="11"/>
        <v>875</v>
      </c>
      <c r="O142" s="24" t="str">
        <f t="shared" si="8"/>
        <v>N</v>
      </c>
      <c r="P142" s="21">
        <f t="shared" si="9"/>
        <v>875</v>
      </c>
    </row>
    <row r="143" spans="1:16">
      <c r="A143" s="18">
        <v>240</v>
      </c>
      <c r="B143" s="19">
        <v>45522</v>
      </c>
      <c r="C143" s="20" t="str">
        <f t="shared" si="10"/>
        <v>Aug</v>
      </c>
      <c r="D143" s="20" t="s">
        <v>8</v>
      </c>
      <c r="E143" s="20" t="s">
        <v>43</v>
      </c>
      <c r="F143" s="20" t="s">
        <v>52</v>
      </c>
      <c r="G143" s="20" t="str">
        <f>VLOOKUP(F143,'CUSTOMER INFO'!B6:D13,2,FALSE)</f>
        <v>MedEase</v>
      </c>
      <c r="H143" s="20" t="str">
        <f>VLOOKUP(F143,'CUSTOMER INFO'!B6:D13,3,FALSE)</f>
        <v>Siddant Patil</v>
      </c>
      <c r="I143" s="20" t="s">
        <v>56</v>
      </c>
      <c r="J143" s="20" t="s">
        <v>99</v>
      </c>
      <c r="K143" s="19">
        <v>46266</v>
      </c>
      <c r="L143" s="20">
        <v>35</v>
      </c>
      <c r="M143" s="21">
        <v>42</v>
      </c>
      <c r="N143" s="22">
        <f t="shared" si="11"/>
        <v>1470</v>
      </c>
      <c r="O143" s="24" t="str">
        <f t="shared" si="8"/>
        <v>N</v>
      </c>
      <c r="P143" s="21">
        <f t="shared" si="9"/>
        <v>1470</v>
      </c>
    </row>
    <row r="144" spans="1:16">
      <c r="A144" s="18">
        <v>241</v>
      </c>
      <c r="B144" s="19">
        <v>45523</v>
      </c>
      <c r="C144" s="20" t="str">
        <f t="shared" si="10"/>
        <v>Aug</v>
      </c>
      <c r="D144" s="20" t="s">
        <v>5</v>
      </c>
      <c r="E144" s="20" t="s">
        <v>39</v>
      </c>
      <c r="F144" s="20" t="s">
        <v>55</v>
      </c>
      <c r="G144" s="20" t="str">
        <f>VLOOKUP(F144,'CUSTOMER INFO'!B7:D14,2,FALSE)</f>
        <v>CityMed Pharmacy</v>
      </c>
      <c r="H144" s="20" t="str">
        <f>VLOOKUP(F144,'CUSTOMER INFO'!B7:D14,3,FALSE)</f>
        <v>Vikram Shah</v>
      </c>
      <c r="I144" s="20" t="s">
        <v>59</v>
      </c>
      <c r="J144" s="20" t="s">
        <v>100</v>
      </c>
      <c r="K144" s="19">
        <v>45870</v>
      </c>
      <c r="L144" s="20">
        <v>38</v>
      </c>
      <c r="M144" s="21">
        <v>22</v>
      </c>
      <c r="N144" s="22">
        <f t="shared" si="11"/>
        <v>836</v>
      </c>
      <c r="O144" s="24" t="str">
        <f t="shared" si="8"/>
        <v>N</v>
      </c>
      <c r="P144" s="21">
        <f t="shared" si="9"/>
        <v>836</v>
      </c>
    </row>
    <row r="145" spans="1:16">
      <c r="A145" s="18">
        <v>242</v>
      </c>
      <c r="B145" s="19">
        <v>45524</v>
      </c>
      <c r="C145" s="20" t="str">
        <f t="shared" si="10"/>
        <v>Aug</v>
      </c>
      <c r="D145" s="20" t="s">
        <v>10</v>
      </c>
      <c r="E145" s="20" t="s">
        <v>43</v>
      </c>
      <c r="F145" s="20" t="s">
        <v>58</v>
      </c>
      <c r="G145" s="20" t="str">
        <f>VLOOKUP(F145,'CUSTOMER INFO'!B8:D15,2,FALSE)</f>
        <v>TrustCare Medicals</v>
      </c>
      <c r="H145" s="20" t="str">
        <f>VLOOKUP(F145,'CUSTOMER INFO'!B8:D15,3,FALSE)</f>
        <v>Pooja Sharma</v>
      </c>
      <c r="I145" s="20" t="s">
        <v>62</v>
      </c>
      <c r="J145" s="20" t="s">
        <v>101</v>
      </c>
      <c r="K145" s="19">
        <v>46266</v>
      </c>
      <c r="L145" s="20">
        <v>28</v>
      </c>
      <c r="M145" s="21">
        <v>48</v>
      </c>
      <c r="N145" s="22">
        <f t="shared" si="11"/>
        <v>1344</v>
      </c>
      <c r="O145" s="24" t="str">
        <f t="shared" si="8"/>
        <v>N</v>
      </c>
      <c r="P145" s="21">
        <f t="shared" si="9"/>
        <v>1344</v>
      </c>
    </row>
    <row r="146" spans="1:16">
      <c r="A146" s="18">
        <v>243</v>
      </c>
      <c r="B146" s="19">
        <v>45525</v>
      </c>
      <c r="C146" s="20" t="str">
        <f t="shared" si="10"/>
        <v>Aug</v>
      </c>
      <c r="D146" s="20" t="s">
        <v>4</v>
      </c>
      <c r="E146" s="20" t="s">
        <v>47</v>
      </c>
      <c r="F146" s="20" t="s">
        <v>61</v>
      </c>
      <c r="G146" s="20" t="str">
        <f>VLOOKUP(F146,'CUSTOMER INFO'!B9:D16,2,FALSE)</f>
        <v>Lifeline Medicals</v>
      </c>
      <c r="H146" s="20" t="str">
        <f>VLOOKUP(F146,'CUSTOMER INFO'!B9:D16,3,FALSE)</f>
        <v>Harshal Singh</v>
      </c>
      <c r="I146" s="20" t="s">
        <v>65</v>
      </c>
      <c r="J146" s="20" t="s">
        <v>102</v>
      </c>
      <c r="K146" s="19">
        <v>46357</v>
      </c>
      <c r="L146" s="20">
        <v>54</v>
      </c>
      <c r="M146" s="21">
        <v>95</v>
      </c>
      <c r="N146" s="22">
        <f t="shared" si="11"/>
        <v>5130</v>
      </c>
      <c r="O146" s="24" t="str">
        <f t="shared" si="8"/>
        <v>N</v>
      </c>
      <c r="P146" s="21">
        <f t="shared" si="9"/>
        <v>5130</v>
      </c>
    </row>
    <row r="147" spans="1:16">
      <c r="A147" s="18">
        <v>244</v>
      </c>
      <c r="B147" s="19">
        <v>45526</v>
      </c>
      <c r="C147" s="20" t="str">
        <f t="shared" si="10"/>
        <v>Aug</v>
      </c>
      <c r="D147" s="20" t="s">
        <v>6</v>
      </c>
      <c r="E147" s="20" t="s">
        <v>51</v>
      </c>
      <c r="F147" s="20" t="s">
        <v>64</v>
      </c>
      <c r="G147" s="20" t="str">
        <f>VLOOKUP(F147,'CUSTOMER INFO'!B10:D17,2,FALSE)</f>
        <v>CarePlus Medical Store</v>
      </c>
      <c r="H147" s="20" t="str">
        <f>VLOOKUP(F147,'CUSTOMER INFO'!B10:D17,3,FALSE)</f>
        <v>Riya Mishra</v>
      </c>
      <c r="I147" s="20" t="s">
        <v>67</v>
      </c>
      <c r="J147" s="20" t="s">
        <v>103</v>
      </c>
      <c r="K147" s="19">
        <v>46296</v>
      </c>
      <c r="L147" s="20">
        <v>35</v>
      </c>
      <c r="M147" s="21">
        <v>18</v>
      </c>
      <c r="N147" s="22">
        <f t="shared" si="11"/>
        <v>630</v>
      </c>
      <c r="O147" s="24" t="str">
        <f t="shared" si="8"/>
        <v>N</v>
      </c>
      <c r="P147" s="21">
        <f t="shared" si="9"/>
        <v>630</v>
      </c>
    </row>
    <row r="148" spans="1:16">
      <c r="A148" s="18">
        <v>245</v>
      </c>
      <c r="B148" s="19">
        <v>45527</v>
      </c>
      <c r="C148" s="20" t="str">
        <f t="shared" si="10"/>
        <v>Aug</v>
      </c>
      <c r="D148" s="20" t="s">
        <v>9</v>
      </c>
      <c r="E148" s="20" t="s">
        <v>39</v>
      </c>
      <c r="F148" s="20" t="s">
        <v>40</v>
      </c>
      <c r="G148" s="20" t="str">
        <f>VLOOKUP(F148,'CUSTOMER INFO'!B3:D10,2,FALSE)</f>
        <v>Shree Medical &amp; General Store</v>
      </c>
      <c r="H148" s="20" t="str">
        <f>VLOOKUP(F148,'CUSTOMER INFO'!B3:D10,3,FALSE)</f>
        <v>Abhijeet Kulkarni</v>
      </c>
      <c r="I148" s="20" t="s">
        <v>69</v>
      </c>
      <c r="J148" s="20" t="s">
        <v>104</v>
      </c>
      <c r="K148" s="19">
        <v>46083</v>
      </c>
      <c r="L148" s="20">
        <v>45</v>
      </c>
      <c r="M148" s="21">
        <v>75</v>
      </c>
      <c r="N148" s="22">
        <f t="shared" si="11"/>
        <v>3375</v>
      </c>
      <c r="O148" s="24" t="str">
        <f t="shared" si="8"/>
        <v>N</v>
      </c>
      <c r="P148" s="21">
        <f t="shared" si="9"/>
        <v>3375</v>
      </c>
    </row>
    <row r="149" spans="1:16">
      <c r="A149" s="18">
        <v>246</v>
      </c>
      <c r="B149" s="19">
        <v>45528</v>
      </c>
      <c r="C149" s="20" t="str">
        <f t="shared" si="10"/>
        <v>Aug</v>
      </c>
      <c r="D149" s="20" t="s">
        <v>7</v>
      </c>
      <c r="E149" s="20" t="s">
        <v>43</v>
      </c>
      <c r="F149" s="20" t="s">
        <v>44</v>
      </c>
      <c r="G149" s="20" t="str">
        <f>VLOOKUP(F149,'CUSTOMER INFO'!B4:D11,2,FALSE)</f>
        <v>JeevanCare Medical Store</v>
      </c>
      <c r="H149" s="20" t="str">
        <f>VLOOKUP(F149,'CUSTOMER INFO'!B4:D11,3,FALSE)</f>
        <v>Neha Patel</v>
      </c>
      <c r="I149" s="20" t="s">
        <v>71</v>
      </c>
      <c r="J149" s="20" t="s">
        <v>105</v>
      </c>
      <c r="K149" s="19">
        <v>46381</v>
      </c>
      <c r="L149" s="20">
        <v>25</v>
      </c>
      <c r="M149" s="21">
        <v>55</v>
      </c>
      <c r="N149" s="22">
        <f t="shared" si="11"/>
        <v>1375</v>
      </c>
      <c r="O149" s="24" t="str">
        <f t="shared" si="8"/>
        <v>N</v>
      </c>
      <c r="P149" s="21">
        <f t="shared" si="9"/>
        <v>1375</v>
      </c>
    </row>
    <row r="150" spans="1:16">
      <c r="A150" s="18">
        <v>247</v>
      </c>
      <c r="B150" s="19">
        <v>45529</v>
      </c>
      <c r="C150" s="20" t="str">
        <f t="shared" si="10"/>
        <v>Aug</v>
      </c>
      <c r="D150" s="20" t="s">
        <v>3</v>
      </c>
      <c r="E150" s="20" t="s">
        <v>47</v>
      </c>
      <c r="F150" s="20" t="s">
        <v>48</v>
      </c>
      <c r="G150" s="20" t="str">
        <f>VLOOKUP(F150,'CUSTOMER INFO'!B5:D12,2,FALSE)</f>
        <v>Arogya Medical &amp; General</v>
      </c>
      <c r="H150" s="20" t="str">
        <f>VLOOKUP(F150,'CUSTOMER INFO'!B5:D12,3,FALSE)</f>
        <v>Hrishkesh Jadhv</v>
      </c>
      <c r="I150" s="20" t="s">
        <v>41</v>
      </c>
      <c r="J150" s="20" t="s">
        <v>106</v>
      </c>
      <c r="K150" s="19">
        <v>46115</v>
      </c>
      <c r="L150" s="20">
        <v>35</v>
      </c>
      <c r="M150" s="21">
        <v>32</v>
      </c>
      <c r="N150" s="22">
        <f t="shared" si="11"/>
        <v>1120</v>
      </c>
      <c r="O150" s="24" t="str">
        <f t="shared" si="8"/>
        <v>N</v>
      </c>
      <c r="P150" s="21">
        <f t="shared" si="9"/>
        <v>1120</v>
      </c>
    </row>
    <row r="151" spans="1:16">
      <c r="A151" s="18">
        <v>248</v>
      </c>
      <c r="B151" s="19">
        <v>45530</v>
      </c>
      <c r="C151" s="20" t="str">
        <f t="shared" si="10"/>
        <v>Aug</v>
      </c>
      <c r="D151" s="20" t="s">
        <v>8</v>
      </c>
      <c r="E151" s="20" t="s">
        <v>51</v>
      </c>
      <c r="F151" s="20" t="s">
        <v>52</v>
      </c>
      <c r="G151" s="20" t="str">
        <f>VLOOKUP(F151,'CUSTOMER INFO'!B6:D13,2,FALSE)</f>
        <v>MedEase</v>
      </c>
      <c r="H151" s="20" t="str">
        <f>VLOOKUP(F151,'CUSTOMER INFO'!B6:D13,3,FALSE)</f>
        <v>Siddant Patil</v>
      </c>
      <c r="I151" s="20" t="s">
        <v>45</v>
      </c>
      <c r="J151" s="20" t="s">
        <v>107</v>
      </c>
      <c r="K151" s="19">
        <v>46178</v>
      </c>
      <c r="L151" s="20">
        <v>22</v>
      </c>
      <c r="M151" s="21">
        <v>90</v>
      </c>
      <c r="N151" s="22">
        <f t="shared" si="11"/>
        <v>1980</v>
      </c>
      <c r="O151" s="24" t="str">
        <f t="shared" si="8"/>
        <v>N</v>
      </c>
      <c r="P151" s="21">
        <f t="shared" si="9"/>
        <v>1980</v>
      </c>
    </row>
    <row r="152" spans="1:16">
      <c r="A152" s="18">
        <v>249</v>
      </c>
      <c r="B152" s="19">
        <v>45531</v>
      </c>
      <c r="C152" s="20" t="str">
        <f t="shared" si="10"/>
        <v>Aug</v>
      </c>
      <c r="D152" s="20" t="s">
        <v>5</v>
      </c>
      <c r="E152" s="20" t="s">
        <v>39</v>
      </c>
      <c r="F152" s="20" t="s">
        <v>55</v>
      </c>
      <c r="G152" s="20" t="str">
        <f>VLOOKUP(F152,'CUSTOMER INFO'!B7:D14,2,FALSE)</f>
        <v>CityMed Pharmacy</v>
      </c>
      <c r="H152" s="20" t="str">
        <f>VLOOKUP(F152,'CUSTOMER INFO'!B7:D14,3,FALSE)</f>
        <v>Vikram Shah</v>
      </c>
      <c r="I152" s="20" t="s">
        <v>49</v>
      </c>
      <c r="J152" s="20" t="s">
        <v>108</v>
      </c>
      <c r="K152" s="19">
        <v>46297</v>
      </c>
      <c r="L152" s="20">
        <v>62</v>
      </c>
      <c r="M152" s="21">
        <v>20</v>
      </c>
      <c r="N152" s="22">
        <f t="shared" si="11"/>
        <v>1240</v>
      </c>
      <c r="O152" s="24" t="str">
        <f t="shared" si="8"/>
        <v>Y</v>
      </c>
      <c r="P152" s="21">
        <f t="shared" si="9"/>
        <v>1178</v>
      </c>
    </row>
    <row r="153" spans="1:16">
      <c r="A153" s="18">
        <v>250</v>
      </c>
      <c r="B153" s="19">
        <v>45532</v>
      </c>
      <c r="C153" s="20" t="str">
        <f t="shared" si="10"/>
        <v>Aug</v>
      </c>
      <c r="D153" s="20" t="s">
        <v>10</v>
      </c>
      <c r="E153" s="20" t="s">
        <v>43</v>
      </c>
      <c r="F153" s="20" t="s">
        <v>58</v>
      </c>
      <c r="G153" s="20" t="str">
        <f>VLOOKUP(F153,'CUSTOMER INFO'!B8:D15,2,FALSE)</f>
        <v>TrustCare Medicals</v>
      </c>
      <c r="H153" s="20" t="str">
        <f>VLOOKUP(F153,'CUSTOMER INFO'!B8:D15,3,FALSE)</f>
        <v>Pooja Sharma</v>
      </c>
      <c r="I153" s="20" t="s">
        <v>53</v>
      </c>
      <c r="J153" s="20" t="s">
        <v>109</v>
      </c>
      <c r="K153" s="19">
        <v>46357</v>
      </c>
      <c r="L153" s="20">
        <v>32</v>
      </c>
      <c r="M153" s="21">
        <v>35</v>
      </c>
      <c r="N153" s="22">
        <f t="shared" si="11"/>
        <v>1120</v>
      </c>
      <c r="O153" s="24" t="str">
        <f t="shared" si="8"/>
        <v>N</v>
      </c>
      <c r="P153" s="21">
        <f t="shared" si="9"/>
        <v>1120</v>
      </c>
    </row>
    <row r="154" spans="1:16">
      <c r="A154" s="18">
        <v>251</v>
      </c>
      <c r="B154" s="19">
        <v>45533</v>
      </c>
      <c r="C154" s="20" t="str">
        <f t="shared" si="10"/>
        <v>Aug</v>
      </c>
      <c r="D154" s="20" t="s">
        <v>4</v>
      </c>
      <c r="E154" s="20" t="s">
        <v>47</v>
      </c>
      <c r="F154" s="20" t="s">
        <v>61</v>
      </c>
      <c r="G154" s="20" t="str">
        <f>VLOOKUP(F154,'CUSTOMER INFO'!B9:D16,2,FALSE)</f>
        <v>Lifeline Medicals</v>
      </c>
      <c r="H154" s="20" t="str">
        <f>VLOOKUP(F154,'CUSTOMER INFO'!B9:D16,3,FALSE)</f>
        <v>Harshal Singh</v>
      </c>
      <c r="I154" s="20" t="s">
        <v>56</v>
      </c>
      <c r="J154" s="20" t="s">
        <v>110</v>
      </c>
      <c r="K154" s="19">
        <v>46235</v>
      </c>
      <c r="L154" s="20">
        <v>65</v>
      </c>
      <c r="M154" s="21">
        <v>42</v>
      </c>
      <c r="N154" s="22">
        <f t="shared" si="11"/>
        <v>2730</v>
      </c>
      <c r="O154" s="24" t="str">
        <f t="shared" si="8"/>
        <v>Y</v>
      </c>
      <c r="P154" s="21">
        <f t="shared" si="9"/>
        <v>2593.5</v>
      </c>
    </row>
    <row r="155" spans="1:16">
      <c r="A155" s="18">
        <v>252</v>
      </c>
      <c r="B155" s="19">
        <v>45534</v>
      </c>
      <c r="C155" s="20" t="str">
        <f t="shared" si="10"/>
        <v>Aug</v>
      </c>
      <c r="D155" s="20" t="s">
        <v>6</v>
      </c>
      <c r="E155" s="20" t="s">
        <v>51</v>
      </c>
      <c r="F155" s="20" t="s">
        <v>64</v>
      </c>
      <c r="G155" s="20" t="str">
        <f>VLOOKUP(F155,'CUSTOMER INFO'!B10:D17,2,FALSE)</f>
        <v>CarePlus Medical Store</v>
      </c>
      <c r="H155" s="20" t="str">
        <f>VLOOKUP(F155,'CUSTOMER INFO'!B10:D17,3,FALSE)</f>
        <v>Riya Mishra</v>
      </c>
      <c r="I155" s="20" t="s">
        <v>59</v>
      </c>
      <c r="J155" s="20" t="s">
        <v>111</v>
      </c>
      <c r="K155" s="19">
        <v>45870</v>
      </c>
      <c r="L155" s="20">
        <v>48</v>
      </c>
      <c r="M155" s="21">
        <v>22</v>
      </c>
      <c r="N155" s="22">
        <f t="shared" si="11"/>
        <v>1056</v>
      </c>
      <c r="O155" s="24" t="str">
        <f t="shared" si="8"/>
        <v>N</v>
      </c>
      <c r="P155" s="21">
        <f t="shared" si="9"/>
        <v>1056</v>
      </c>
    </row>
    <row r="156" spans="1:16">
      <c r="A156" s="18">
        <v>253</v>
      </c>
      <c r="B156" s="19">
        <v>45535</v>
      </c>
      <c r="C156" s="20" t="str">
        <f t="shared" si="10"/>
        <v>Aug</v>
      </c>
      <c r="D156" s="20" t="s">
        <v>9</v>
      </c>
      <c r="E156" s="20" t="s">
        <v>39</v>
      </c>
      <c r="F156" s="20" t="s">
        <v>40</v>
      </c>
      <c r="G156" s="20" t="str">
        <f>VLOOKUP(F156,'CUSTOMER INFO'!B3:D10,2,FALSE)</f>
        <v>Shree Medical &amp; General Store</v>
      </c>
      <c r="H156" s="20" t="str">
        <f>VLOOKUP(F156,'CUSTOMER INFO'!B3:D10,3,FALSE)</f>
        <v>Abhijeet Kulkarni</v>
      </c>
      <c r="I156" s="20" t="s">
        <v>62</v>
      </c>
      <c r="J156" s="20" t="s">
        <v>112</v>
      </c>
      <c r="K156" s="19">
        <v>46266</v>
      </c>
      <c r="L156" s="20">
        <v>54</v>
      </c>
      <c r="M156" s="21">
        <v>48</v>
      </c>
      <c r="N156" s="22">
        <f t="shared" si="11"/>
        <v>2592</v>
      </c>
      <c r="O156" s="24" t="str">
        <f t="shared" si="8"/>
        <v>N</v>
      </c>
      <c r="P156" s="21">
        <f t="shared" si="9"/>
        <v>2592</v>
      </c>
    </row>
    <row r="157" spans="1:16">
      <c r="A157" s="18">
        <v>254</v>
      </c>
      <c r="B157" s="19">
        <v>45536</v>
      </c>
      <c r="C157" s="20" t="str">
        <f t="shared" si="10"/>
        <v>Sep</v>
      </c>
      <c r="D157" s="20" t="s">
        <v>9</v>
      </c>
      <c r="E157" s="20" t="s">
        <v>43</v>
      </c>
      <c r="F157" s="20" t="s">
        <v>44</v>
      </c>
      <c r="G157" s="20" t="str">
        <f>VLOOKUP(F157,'CUSTOMER INFO'!B4:D11,2,FALSE)</f>
        <v>JeevanCare Medical Store</v>
      </c>
      <c r="H157" s="20" t="str">
        <f>VLOOKUP(F157,'CUSTOMER INFO'!B4:D11,3,FALSE)</f>
        <v>Neha Patel</v>
      </c>
      <c r="I157" s="20" t="s">
        <v>41</v>
      </c>
      <c r="J157" s="20" t="s">
        <v>106</v>
      </c>
      <c r="K157" s="19">
        <v>45870</v>
      </c>
      <c r="L157" s="20">
        <v>25</v>
      </c>
      <c r="M157" s="21">
        <v>95</v>
      </c>
      <c r="N157" s="22">
        <f t="shared" si="11"/>
        <v>2375</v>
      </c>
      <c r="O157" s="24" t="str">
        <f t="shared" si="8"/>
        <v>N</v>
      </c>
      <c r="P157" s="21">
        <f t="shared" si="9"/>
        <v>2375</v>
      </c>
    </row>
    <row r="158" spans="1:16">
      <c r="A158" s="18">
        <v>255</v>
      </c>
      <c r="B158" s="19">
        <v>45537</v>
      </c>
      <c r="C158" s="20" t="str">
        <f t="shared" si="10"/>
        <v>Sep</v>
      </c>
      <c r="D158" s="20" t="s">
        <v>7</v>
      </c>
      <c r="E158" s="20" t="s">
        <v>39</v>
      </c>
      <c r="F158" s="20" t="s">
        <v>48</v>
      </c>
      <c r="G158" s="20" t="str">
        <f>VLOOKUP(F158,'CUSTOMER INFO'!B5:D12,2,FALSE)</f>
        <v>Arogya Medical &amp; General</v>
      </c>
      <c r="H158" s="20" t="str">
        <f>VLOOKUP(F158,'CUSTOMER INFO'!B5:D12,3,FALSE)</f>
        <v>Hrishkesh Jadhv</v>
      </c>
      <c r="I158" s="20" t="s">
        <v>45</v>
      </c>
      <c r="J158" s="20" t="s">
        <v>107</v>
      </c>
      <c r="K158" s="19">
        <v>46266</v>
      </c>
      <c r="L158" s="20">
        <v>35</v>
      </c>
      <c r="M158" s="21">
        <v>18</v>
      </c>
      <c r="N158" s="22">
        <f t="shared" si="11"/>
        <v>630</v>
      </c>
      <c r="O158" s="24" t="str">
        <f t="shared" si="8"/>
        <v>N</v>
      </c>
      <c r="P158" s="21">
        <f t="shared" si="9"/>
        <v>630</v>
      </c>
    </row>
    <row r="159" spans="1:16">
      <c r="A159" s="18">
        <v>256</v>
      </c>
      <c r="B159" s="19">
        <v>45538</v>
      </c>
      <c r="C159" s="20" t="str">
        <f t="shared" si="10"/>
        <v>Sep</v>
      </c>
      <c r="D159" s="20" t="s">
        <v>3</v>
      </c>
      <c r="E159" s="20" t="s">
        <v>43</v>
      </c>
      <c r="F159" s="20" t="s">
        <v>52</v>
      </c>
      <c r="G159" s="20" t="str">
        <f>VLOOKUP(F159,'CUSTOMER INFO'!B6:D13,2,FALSE)</f>
        <v>MedEase</v>
      </c>
      <c r="H159" s="20" t="str">
        <f>VLOOKUP(F159,'CUSTOMER INFO'!B6:D13,3,FALSE)</f>
        <v>Siddant Patil</v>
      </c>
      <c r="I159" s="20" t="s">
        <v>49</v>
      </c>
      <c r="J159" s="20" t="s">
        <v>108</v>
      </c>
      <c r="K159" s="19">
        <v>46357</v>
      </c>
      <c r="L159" s="20">
        <v>38</v>
      </c>
      <c r="M159" s="21">
        <v>75</v>
      </c>
      <c r="N159" s="22">
        <f t="shared" si="11"/>
        <v>2850</v>
      </c>
      <c r="O159" s="24" t="str">
        <f t="shared" si="8"/>
        <v>N</v>
      </c>
      <c r="P159" s="21">
        <f t="shared" si="9"/>
        <v>2850</v>
      </c>
    </row>
    <row r="160" spans="1:16">
      <c r="A160" s="18">
        <v>257</v>
      </c>
      <c r="B160" s="19">
        <v>45539</v>
      </c>
      <c r="C160" s="20" t="str">
        <f t="shared" si="10"/>
        <v>Sep</v>
      </c>
      <c r="D160" s="20" t="s">
        <v>8</v>
      </c>
      <c r="E160" s="20" t="s">
        <v>47</v>
      </c>
      <c r="F160" s="20" t="s">
        <v>55</v>
      </c>
      <c r="G160" s="20" t="str">
        <f>VLOOKUP(F160,'CUSTOMER INFO'!B7:D14,2,FALSE)</f>
        <v>CityMed Pharmacy</v>
      </c>
      <c r="H160" s="20" t="str">
        <f>VLOOKUP(F160,'CUSTOMER INFO'!B7:D14,3,FALSE)</f>
        <v>Vikram Shah</v>
      </c>
      <c r="I160" s="20" t="s">
        <v>53</v>
      </c>
      <c r="J160" s="20" t="s">
        <v>109</v>
      </c>
      <c r="K160" s="19">
        <v>46296</v>
      </c>
      <c r="L160" s="20">
        <v>28</v>
      </c>
      <c r="M160" s="21">
        <v>55</v>
      </c>
      <c r="N160" s="22">
        <f t="shared" si="11"/>
        <v>1540</v>
      </c>
      <c r="O160" s="24" t="str">
        <f t="shared" si="8"/>
        <v>N</v>
      </c>
      <c r="P160" s="21">
        <f t="shared" si="9"/>
        <v>1540</v>
      </c>
    </row>
    <row r="161" spans="1:16">
      <c r="A161" s="18">
        <v>258</v>
      </c>
      <c r="B161" s="19">
        <v>45540</v>
      </c>
      <c r="C161" s="20" t="str">
        <f t="shared" si="10"/>
        <v>Sep</v>
      </c>
      <c r="D161" s="20" t="s">
        <v>5</v>
      </c>
      <c r="E161" s="20" t="s">
        <v>51</v>
      </c>
      <c r="F161" s="20" t="s">
        <v>58</v>
      </c>
      <c r="G161" s="20" t="str">
        <f>VLOOKUP(F161,'CUSTOMER INFO'!B8:D15,2,FALSE)</f>
        <v>TrustCare Medicals</v>
      </c>
      <c r="H161" s="20" t="str">
        <f>VLOOKUP(F161,'CUSTOMER INFO'!B8:D15,3,FALSE)</f>
        <v>Pooja Sharma</v>
      </c>
      <c r="I161" s="20" t="s">
        <v>56</v>
      </c>
      <c r="J161" s="20" t="s">
        <v>110</v>
      </c>
      <c r="K161" s="19">
        <v>46083</v>
      </c>
      <c r="L161" s="20">
        <v>54</v>
      </c>
      <c r="M161" s="21">
        <v>32</v>
      </c>
      <c r="N161" s="22">
        <f t="shared" si="11"/>
        <v>1728</v>
      </c>
      <c r="O161" s="24" t="str">
        <f t="shared" si="8"/>
        <v>N</v>
      </c>
      <c r="P161" s="21">
        <f t="shared" si="9"/>
        <v>1728</v>
      </c>
    </row>
    <row r="162" spans="1:16">
      <c r="A162" s="18">
        <v>259</v>
      </c>
      <c r="B162" s="19">
        <v>45541</v>
      </c>
      <c r="C162" s="20" t="str">
        <f t="shared" si="10"/>
        <v>Sep</v>
      </c>
      <c r="D162" s="20" t="s">
        <v>10</v>
      </c>
      <c r="E162" s="20" t="s">
        <v>39</v>
      </c>
      <c r="F162" s="20" t="s">
        <v>61</v>
      </c>
      <c r="G162" s="20" t="str">
        <f>VLOOKUP(F162,'CUSTOMER INFO'!B9:D16,2,FALSE)</f>
        <v>Lifeline Medicals</v>
      </c>
      <c r="H162" s="20" t="str">
        <f>VLOOKUP(F162,'CUSTOMER INFO'!B9:D16,3,FALSE)</f>
        <v>Harshal Singh</v>
      </c>
      <c r="I162" s="20" t="s">
        <v>59</v>
      </c>
      <c r="J162" s="20" t="s">
        <v>111</v>
      </c>
      <c r="K162" s="19">
        <v>46381</v>
      </c>
      <c r="L162" s="20">
        <v>35</v>
      </c>
      <c r="M162" s="21">
        <v>90</v>
      </c>
      <c r="N162" s="22">
        <f t="shared" si="11"/>
        <v>3150</v>
      </c>
      <c r="O162" s="24" t="str">
        <f t="shared" si="8"/>
        <v>N</v>
      </c>
      <c r="P162" s="21">
        <f t="shared" si="9"/>
        <v>3150</v>
      </c>
    </row>
    <row r="163" spans="1:16">
      <c r="A163" s="18">
        <v>260</v>
      </c>
      <c r="B163" s="19">
        <v>45542</v>
      </c>
      <c r="C163" s="20" t="str">
        <f t="shared" si="10"/>
        <v>Sep</v>
      </c>
      <c r="D163" s="20" t="s">
        <v>4</v>
      </c>
      <c r="E163" s="20" t="s">
        <v>43</v>
      </c>
      <c r="F163" s="20" t="s">
        <v>64</v>
      </c>
      <c r="G163" s="20" t="str">
        <f>VLOOKUP(F163,'CUSTOMER INFO'!B10:D17,2,FALSE)</f>
        <v>CarePlus Medical Store</v>
      </c>
      <c r="H163" s="20" t="str">
        <f>VLOOKUP(F163,'CUSTOMER INFO'!B10:D17,3,FALSE)</f>
        <v>Riya Mishra</v>
      </c>
      <c r="I163" s="20" t="s">
        <v>62</v>
      </c>
      <c r="J163" s="20" t="s">
        <v>112</v>
      </c>
      <c r="K163" s="19">
        <v>46115</v>
      </c>
      <c r="L163" s="20">
        <v>45</v>
      </c>
      <c r="M163" s="21">
        <v>20</v>
      </c>
      <c r="N163" s="22">
        <f t="shared" si="11"/>
        <v>900</v>
      </c>
      <c r="O163" s="24" t="str">
        <f t="shared" si="8"/>
        <v>N</v>
      </c>
      <c r="P163" s="21">
        <f t="shared" si="9"/>
        <v>900</v>
      </c>
    </row>
    <row r="164" spans="1:16">
      <c r="A164" s="18">
        <v>261</v>
      </c>
      <c r="B164" s="19">
        <v>45543</v>
      </c>
      <c r="C164" s="20" t="str">
        <f t="shared" si="10"/>
        <v>Sep</v>
      </c>
      <c r="D164" s="20" t="s">
        <v>6</v>
      </c>
      <c r="E164" s="20" t="s">
        <v>47</v>
      </c>
      <c r="F164" s="20" t="s">
        <v>40</v>
      </c>
      <c r="G164" s="20" t="str">
        <f>VLOOKUP(F164,'CUSTOMER INFO'!B3:D10,2,FALSE)</f>
        <v>Shree Medical &amp; General Store</v>
      </c>
      <c r="H164" s="20" t="str">
        <f>VLOOKUP(F164,'CUSTOMER INFO'!B3:D10,3,FALSE)</f>
        <v>Abhijeet Kulkarni</v>
      </c>
      <c r="I164" s="20" t="s">
        <v>65</v>
      </c>
      <c r="J164" s="20" t="s">
        <v>113</v>
      </c>
      <c r="K164" s="19">
        <v>46178</v>
      </c>
      <c r="L164" s="20">
        <v>25</v>
      </c>
      <c r="M164" s="21">
        <v>35</v>
      </c>
      <c r="N164" s="22">
        <f t="shared" si="11"/>
        <v>875</v>
      </c>
      <c r="O164" s="24" t="str">
        <f t="shared" si="8"/>
        <v>N</v>
      </c>
      <c r="P164" s="21">
        <f t="shared" si="9"/>
        <v>875</v>
      </c>
    </row>
    <row r="165" spans="1:16">
      <c r="A165" s="18">
        <v>262</v>
      </c>
      <c r="B165" s="19">
        <v>45544</v>
      </c>
      <c r="C165" s="20" t="str">
        <f t="shared" si="10"/>
        <v>Sep</v>
      </c>
      <c r="D165" s="20" t="s">
        <v>9</v>
      </c>
      <c r="E165" s="20" t="s">
        <v>51</v>
      </c>
      <c r="F165" s="20" t="s">
        <v>44</v>
      </c>
      <c r="G165" s="20" t="str">
        <f>VLOOKUP(F165,'CUSTOMER INFO'!B4:D11,2,FALSE)</f>
        <v>JeevanCare Medical Store</v>
      </c>
      <c r="H165" s="20" t="str">
        <f>VLOOKUP(F165,'CUSTOMER INFO'!B4:D11,3,FALSE)</f>
        <v>Neha Patel</v>
      </c>
      <c r="I165" s="20" t="s">
        <v>67</v>
      </c>
      <c r="J165" s="20" t="s">
        <v>114</v>
      </c>
      <c r="K165" s="19">
        <v>46297</v>
      </c>
      <c r="L165" s="20">
        <v>58</v>
      </c>
      <c r="M165" s="21">
        <v>42</v>
      </c>
      <c r="N165" s="22">
        <f t="shared" si="11"/>
        <v>2436</v>
      </c>
      <c r="O165" s="24" t="str">
        <f t="shared" si="8"/>
        <v>N</v>
      </c>
      <c r="P165" s="21">
        <f t="shared" si="9"/>
        <v>2436</v>
      </c>
    </row>
    <row r="166" spans="1:16">
      <c r="A166" s="18">
        <v>263</v>
      </c>
      <c r="B166" s="19">
        <v>45545</v>
      </c>
      <c r="C166" s="20" t="str">
        <f t="shared" si="10"/>
        <v>Sep</v>
      </c>
      <c r="D166" s="20" t="s">
        <v>7</v>
      </c>
      <c r="E166" s="20" t="s">
        <v>39</v>
      </c>
      <c r="F166" s="20" t="s">
        <v>48</v>
      </c>
      <c r="G166" s="20" t="str">
        <f>VLOOKUP(F166,'CUSTOMER INFO'!B5:D12,2,FALSE)</f>
        <v>Arogya Medical &amp; General</v>
      </c>
      <c r="H166" s="20" t="str">
        <f>VLOOKUP(F166,'CUSTOMER INFO'!B5:D12,3,FALSE)</f>
        <v>Hrishkesh Jadhv</v>
      </c>
      <c r="I166" s="20" t="s">
        <v>69</v>
      </c>
      <c r="J166" s="20" t="s">
        <v>115</v>
      </c>
      <c r="K166" s="19">
        <v>46357</v>
      </c>
      <c r="L166" s="20">
        <v>65</v>
      </c>
      <c r="M166" s="21">
        <v>22</v>
      </c>
      <c r="N166" s="22">
        <f t="shared" si="11"/>
        <v>1430</v>
      </c>
      <c r="O166" s="24" t="str">
        <f t="shared" si="8"/>
        <v>Y</v>
      </c>
      <c r="P166" s="21">
        <f t="shared" si="9"/>
        <v>1358.5</v>
      </c>
    </row>
    <row r="167" spans="1:16">
      <c r="A167" s="18">
        <v>264</v>
      </c>
      <c r="B167" s="19">
        <v>45546</v>
      </c>
      <c r="C167" s="20" t="str">
        <f t="shared" si="10"/>
        <v>Sep</v>
      </c>
      <c r="D167" s="20" t="s">
        <v>3</v>
      </c>
      <c r="E167" s="20" t="s">
        <v>43</v>
      </c>
      <c r="F167" s="20" t="s">
        <v>52</v>
      </c>
      <c r="G167" s="20" t="str">
        <f>VLOOKUP(F167,'CUSTOMER INFO'!B6:D13,2,FALSE)</f>
        <v>MedEase</v>
      </c>
      <c r="H167" s="20" t="str">
        <f>VLOOKUP(F167,'CUSTOMER INFO'!B6:D13,3,FALSE)</f>
        <v>Siddant Patil</v>
      </c>
      <c r="I167" s="20" t="s">
        <v>71</v>
      </c>
      <c r="J167" s="20" t="s">
        <v>116</v>
      </c>
      <c r="K167" s="19">
        <v>46235</v>
      </c>
      <c r="L167" s="20">
        <v>28</v>
      </c>
      <c r="M167" s="21">
        <v>48</v>
      </c>
      <c r="N167" s="22">
        <f t="shared" si="11"/>
        <v>1344</v>
      </c>
      <c r="O167" s="24" t="str">
        <f t="shared" si="8"/>
        <v>N</v>
      </c>
      <c r="P167" s="21">
        <f t="shared" si="9"/>
        <v>1344</v>
      </c>
    </row>
    <row r="168" spans="1:16">
      <c r="A168" s="18">
        <v>265</v>
      </c>
      <c r="B168" s="19">
        <v>45547</v>
      </c>
      <c r="C168" s="20" t="str">
        <f t="shared" si="10"/>
        <v>Sep</v>
      </c>
      <c r="D168" s="20" t="s">
        <v>8</v>
      </c>
      <c r="E168" s="20" t="s">
        <v>47</v>
      </c>
      <c r="F168" s="20" t="s">
        <v>55</v>
      </c>
      <c r="G168" s="20" t="str">
        <f>VLOOKUP(F168,'CUSTOMER INFO'!B7:D14,2,FALSE)</f>
        <v>CityMed Pharmacy</v>
      </c>
      <c r="H168" s="20" t="str">
        <f>VLOOKUP(F168,'CUSTOMER INFO'!B7:D14,3,FALSE)</f>
        <v>Vikram Shah</v>
      </c>
      <c r="I168" s="20" t="s">
        <v>41</v>
      </c>
      <c r="J168" s="20" t="s">
        <v>117</v>
      </c>
      <c r="K168" s="19">
        <v>45870</v>
      </c>
      <c r="L168" s="20">
        <v>48</v>
      </c>
      <c r="M168" s="21">
        <v>95</v>
      </c>
      <c r="N168" s="22">
        <f t="shared" si="11"/>
        <v>4560</v>
      </c>
      <c r="O168" s="24" t="str">
        <f t="shared" si="8"/>
        <v>N</v>
      </c>
      <c r="P168" s="21">
        <f t="shared" si="9"/>
        <v>4560</v>
      </c>
    </row>
    <row r="169" spans="1:16">
      <c r="A169" s="18">
        <v>266</v>
      </c>
      <c r="B169" s="19">
        <v>45548</v>
      </c>
      <c r="C169" s="20" t="str">
        <f t="shared" si="10"/>
        <v>Sep</v>
      </c>
      <c r="D169" s="20" t="s">
        <v>5</v>
      </c>
      <c r="E169" s="20" t="s">
        <v>51</v>
      </c>
      <c r="F169" s="20" t="s">
        <v>58</v>
      </c>
      <c r="G169" s="20" t="str">
        <f>VLOOKUP(F169,'CUSTOMER INFO'!B8:D15,2,FALSE)</f>
        <v>TrustCare Medicals</v>
      </c>
      <c r="H169" s="20" t="str">
        <f>VLOOKUP(F169,'CUSTOMER INFO'!B8:D15,3,FALSE)</f>
        <v>Pooja Sharma</v>
      </c>
      <c r="I169" s="20" t="s">
        <v>45</v>
      </c>
      <c r="J169" s="20" t="s">
        <v>118</v>
      </c>
      <c r="K169" s="19">
        <v>46266</v>
      </c>
      <c r="L169" s="20">
        <v>38</v>
      </c>
      <c r="M169" s="21">
        <v>18</v>
      </c>
      <c r="N169" s="22">
        <f t="shared" si="11"/>
        <v>684</v>
      </c>
      <c r="O169" s="24" t="str">
        <f t="shared" si="8"/>
        <v>N</v>
      </c>
      <c r="P169" s="21">
        <f t="shared" si="9"/>
        <v>684</v>
      </c>
    </row>
    <row r="170" spans="1:16">
      <c r="A170" s="18">
        <v>267</v>
      </c>
      <c r="B170" s="19">
        <v>45549</v>
      </c>
      <c r="C170" s="20" t="str">
        <f t="shared" si="10"/>
        <v>Sep</v>
      </c>
      <c r="D170" s="20" t="s">
        <v>10</v>
      </c>
      <c r="E170" s="20" t="s">
        <v>39</v>
      </c>
      <c r="F170" s="20" t="s">
        <v>61</v>
      </c>
      <c r="G170" s="20" t="str">
        <f>VLOOKUP(F170,'CUSTOMER INFO'!B9:D16,2,FALSE)</f>
        <v>Lifeline Medicals</v>
      </c>
      <c r="H170" s="20" t="str">
        <f>VLOOKUP(F170,'CUSTOMER INFO'!B9:D16,3,FALSE)</f>
        <v>Harshal Singh</v>
      </c>
      <c r="I170" s="20" t="s">
        <v>49</v>
      </c>
      <c r="J170" s="20" t="s">
        <v>119</v>
      </c>
      <c r="K170" s="19">
        <v>45870</v>
      </c>
      <c r="L170" s="20">
        <v>48</v>
      </c>
      <c r="M170" s="21">
        <v>75</v>
      </c>
      <c r="N170" s="22">
        <f t="shared" si="11"/>
        <v>3600</v>
      </c>
      <c r="O170" s="24" t="str">
        <f t="shared" si="8"/>
        <v>N</v>
      </c>
      <c r="P170" s="21">
        <f t="shared" si="9"/>
        <v>3600</v>
      </c>
    </row>
    <row r="171" spans="1:16">
      <c r="A171" s="18">
        <v>268</v>
      </c>
      <c r="B171" s="19">
        <v>45550</v>
      </c>
      <c r="C171" s="20" t="str">
        <f t="shared" si="10"/>
        <v>Sep</v>
      </c>
      <c r="D171" s="20" t="s">
        <v>4</v>
      </c>
      <c r="E171" s="20" t="s">
        <v>43</v>
      </c>
      <c r="F171" s="20" t="s">
        <v>64</v>
      </c>
      <c r="G171" s="20" t="str">
        <f>VLOOKUP(F171,'CUSTOMER INFO'!B10:D17,2,FALSE)</f>
        <v>CarePlus Medical Store</v>
      </c>
      <c r="H171" s="20" t="str">
        <f>VLOOKUP(F171,'CUSTOMER INFO'!B10:D17,3,FALSE)</f>
        <v>Riya Mishra</v>
      </c>
      <c r="I171" s="20" t="s">
        <v>53</v>
      </c>
      <c r="J171" s="20" t="s">
        <v>120</v>
      </c>
      <c r="K171" s="19">
        <v>46266</v>
      </c>
      <c r="L171" s="20">
        <v>58</v>
      </c>
      <c r="M171" s="21">
        <v>55</v>
      </c>
      <c r="N171" s="22">
        <f t="shared" si="11"/>
        <v>3190</v>
      </c>
      <c r="O171" s="24" t="str">
        <f t="shared" si="8"/>
        <v>N</v>
      </c>
      <c r="P171" s="21">
        <f t="shared" si="9"/>
        <v>3190</v>
      </c>
    </row>
    <row r="172" spans="1:16">
      <c r="A172" s="18">
        <v>269</v>
      </c>
      <c r="B172" s="19">
        <v>45551</v>
      </c>
      <c r="C172" s="20" t="str">
        <f t="shared" si="10"/>
        <v>Sep</v>
      </c>
      <c r="D172" s="20" t="s">
        <v>6</v>
      </c>
      <c r="E172" s="20" t="s">
        <v>39</v>
      </c>
      <c r="F172" s="20" t="s">
        <v>40</v>
      </c>
      <c r="G172" s="20" t="str">
        <f>VLOOKUP(F172,'CUSTOMER INFO'!B3:D10,2,FALSE)</f>
        <v>Shree Medical &amp; General Store</v>
      </c>
      <c r="H172" s="20" t="str">
        <f>VLOOKUP(F172,'CUSTOMER INFO'!B3:D10,3,FALSE)</f>
        <v>Abhijeet Kulkarni</v>
      </c>
      <c r="I172" s="20" t="s">
        <v>56</v>
      </c>
      <c r="J172" s="20" t="s">
        <v>121</v>
      </c>
      <c r="K172" s="19">
        <v>46357</v>
      </c>
      <c r="L172" s="20">
        <v>35</v>
      </c>
      <c r="M172" s="21">
        <v>32</v>
      </c>
      <c r="N172" s="22">
        <f t="shared" si="11"/>
        <v>1120</v>
      </c>
      <c r="O172" s="24" t="str">
        <f t="shared" si="8"/>
        <v>N</v>
      </c>
      <c r="P172" s="21">
        <f t="shared" si="9"/>
        <v>1120</v>
      </c>
    </row>
    <row r="173" spans="1:16">
      <c r="A173" s="18">
        <v>270</v>
      </c>
      <c r="B173" s="19">
        <v>45552</v>
      </c>
      <c r="C173" s="20" t="str">
        <f t="shared" si="10"/>
        <v>Sep</v>
      </c>
      <c r="D173" s="20" t="s">
        <v>9</v>
      </c>
      <c r="E173" s="20" t="s">
        <v>43</v>
      </c>
      <c r="F173" s="20" t="s">
        <v>44</v>
      </c>
      <c r="G173" s="20" t="str">
        <f>VLOOKUP(F173,'CUSTOMER INFO'!B4:D11,2,FALSE)</f>
        <v>JeevanCare Medical Store</v>
      </c>
      <c r="H173" s="20" t="str">
        <f>VLOOKUP(F173,'CUSTOMER INFO'!B4:D11,3,FALSE)</f>
        <v>Neha Patel</v>
      </c>
      <c r="I173" s="20" t="s">
        <v>59</v>
      </c>
      <c r="J173" s="20" t="s">
        <v>122</v>
      </c>
      <c r="K173" s="19">
        <v>46296</v>
      </c>
      <c r="L173" s="20">
        <v>22</v>
      </c>
      <c r="M173" s="21">
        <v>90</v>
      </c>
      <c r="N173" s="22">
        <f t="shared" si="11"/>
        <v>1980</v>
      </c>
      <c r="O173" s="24" t="str">
        <f t="shared" si="8"/>
        <v>N</v>
      </c>
      <c r="P173" s="21">
        <f t="shared" si="9"/>
        <v>1980</v>
      </c>
    </row>
    <row r="174" spans="1:16">
      <c r="A174" s="18">
        <v>271</v>
      </c>
      <c r="B174" s="19">
        <v>45553</v>
      </c>
      <c r="C174" s="20" t="str">
        <f t="shared" si="10"/>
        <v>Sep</v>
      </c>
      <c r="D174" s="20" t="s">
        <v>9</v>
      </c>
      <c r="E174" s="20" t="s">
        <v>47</v>
      </c>
      <c r="F174" s="20" t="s">
        <v>48</v>
      </c>
      <c r="G174" s="20" t="str">
        <f>VLOOKUP(F174,'CUSTOMER INFO'!B5:D12,2,FALSE)</f>
        <v>Arogya Medical &amp; General</v>
      </c>
      <c r="H174" s="20" t="str">
        <f>VLOOKUP(F174,'CUSTOMER INFO'!B5:D12,3,FALSE)</f>
        <v>Hrishkesh Jadhv</v>
      </c>
      <c r="I174" s="20" t="s">
        <v>62</v>
      </c>
      <c r="J174" s="20" t="s">
        <v>123</v>
      </c>
      <c r="K174" s="19">
        <v>46083</v>
      </c>
      <c r="L174" s="20">
        <v>26</v>
      </c>
      <c r="M174" s="21">
        <v>20</v>
      </c>
      <c r="N174" s="22">
        <f t="shared" si="11"/>
        <v>520</v>
      </c>
      <c r="O174" s="24" t="str">
        <f t="shared" si="8"/>
        <v>N</v>
      </c>
      <c r="P174" s="21">
        <f t="shared" si="9"/>
        <v>520</v>
      </c>
    </row>
    <row r="175" spans="1:16">
      <c r="A175" s="18">
        <v>272</v>
      </c>
      <c r="B175" s="19">
        <v>45554</v>
      </c>
      <c r="C175" s="20" t="str">
        <f t="shared" si="10"/>
        <v>Sep</v>
      </c>
      <c r="D175" s="20" t="s">
        <v>7</v>
      </c>
      <c r="E175" s="20" t="s">
        <v>51</v>
      </c>
      <c r="F175" s="20" t="s">
        <v>52</v>
      </c>
      <c r="G175" s="20" t="str">
        <f>VLOOKUP(F175,'CUSTOMER INFO'!B6:D13,2,FALSE)</f>
        <v>MedEase</v>
      </c>
      <c r="H175" s="20" t="str">
        <f>VLOOKUP(F175,'CUSTOMER INFO'!B6:D13,3,FALSE)</f>
        <v>Siddant Patil</v>
      </c>
      <c r="I175" s="20" t="s">
        <v>41</v>
      </c>
      <c r="J175" s="20" t="s">
        <v>117</v>
      </c>
      <c r="K175" s="19">
        <v>46381</v>
      </c>
      <c r="L175" s="20">
        <v>68</v>
      </c>
      <c r="M175" s="21">
        <v>35</v>
      </c>
      <c r="N175" s="22">
        <f t="shared" si="11"/>
        <v>2380</v>
      </c>
      <c r="O175" s="24" t="str">
        <f t="shared" si="8"/>
        <v>Y</v>
      </c>
      <c r="P175" s="21">
        <f t="shared" si="9"/>
        <v>2261</v>
      </c>
    </row>
    <row r="176" spans="1:16">
      <c r="A176" s="18">
        <v>273</v>
      </c>
      <c r="B176" s="19">
        <v>45555</v>
      </c>
      <c r="C176" s="20" t="str">
        <f t="shared" si="10"/>
        <v>Sep</v>
      </c>
      <c r="D176" s="20" t="s">
        <v>3</v>
      </c>
      <c r="E176" s="20" t="s">
        <v>39</v>
      </c>
      <c r="F176" s="20" t="s">
        <v>55</v>
      </c>
      <c r="G176" s="20" t="str">
        <f>VLOOKUP(F176,'CUSTOMER INFO'!B7:D14,2,FALSE)</f>
        <v>CityMed Pharmacy</v>
      </c>
      <c r="H176" s="20" t="str">
        <f>VLOOKUP(F176,'CUSTOMER INFO'!B7:D14,3,FALSE)</f>
        <v>Vikram Shah</v>
      </c>
      <c r="I176" s="20" t="s">
        <v>45</v>
      </c>
      <c r="J176" s="20" t="s">
        <v>118</v>
      </c>
      <c r="K176" s="19">
        <v>46115</v>
      </c>
      <c r="L176" s="20">
        <v>45</v>
      </c>
      <c r="M176" s="21">
        <v>42</v>
      </c>
      <c r="N176" s="22">
        <f t="shared" si="11"/>
        <v>1890</v>
      </c>
      <c r="O176" s="24" t="str">
        <f t="shared" si="8"/>
        <v>N</v>
      </c>
      <c r="P176" s="21">
        <f t="shared" si="9"/>
        <v>1890</v>
      </c>
    </row>
    <row r="177" spans="1:16">
      <c r="A177" s="18">
        <v>274</v>
      </c>
      <c r="B177" s="19">
        <v>45556</v>
      </c>
      <c r="C177" s="20" t="str">
        <f t="shared" si="10"/>
        <v>Sep</v>
      </c>
      <c r="D177" s="20" t="s">
        <v>8</v>
      </c>
      <c r="E177" s="20" t="s">
        <v>43</v>
      </c>
      <c r="F177" s="20" t="s">
        <v>58</v>
      </c>
      <c r="G177" s="20" t="str">
        <f>VLOOKUP(F177,'CUSTOMER INFO'!B8:D15,2,FALSE)</f>
        <v>TrustCare Medicals</v>
      </c>
      <c r="H177" s="20" t="str">
        <f>VLOOKUP(F177,'CUSTOMER INFO'!B8:D15,3,FALSE)</f>
        <v>Pooja Sharma</v>
      </c>
      <c r="I177" s="20" t="s">
        <v>49</v>
      </c>
      <c r="J177" s="20" t="s">
        <v>119</v>
      </c>
      <c r="K177" s="19">
        <v>46178</v>
      </c>
      <c r="L177" s="20">
        <v>59</v>
      </c>
      <c r="M177" s="21">
        <v>22</v>
      </c>
      <c r="N177" s="22">
        <f t="shared" si="11"/>
        <v>1298</v>
      </c>
      <c r="O177" s="24" t="str">
        <f t="shared" si="8"/>
        <v>N</v>
      </c>
      <c r="P177" s="21">
        <f t="shared" si="9"/>
        <v>1298</v>
      </c>
    </row>
    <row r="178" spans="1:16">
      <c r="A178" s="18">
        <v>275</v>
      </c>
      <c r="B178" s="19">
        <v>45557</v>
      </c>
      <c r="C178" s="20" t="str">
        <f t="shared" si="10"/>
        <v>Sep</v>
      </c>
      <c r="D178" s="20" t="s">
        <v>5</v>
      </c>
      <c r="E178" s="20" t="s">
        <v>47</v>
      </c>
      <c r="F178" s="20" t="s">
        <v>61</v>
      </c>
      <c r="G178" s="20" t="str">
        <f>VLOOKUP(F178,'CUSTOMER INFO'!B9:D16,2,FALSE)</f>
        <v>Lifeline Medicals</v>
      </c>
      <c r="H178" s="20" t="str">
        <f>VLOOKUP(F178,'CUSTOMER INFO'!B9:D16,3,FALSE)</f>
        <v>Harshal Singh</v>
      </c>
      <c r="I178" s="20" t="s">
        <v>53</v>
      </c>
      <c r="J178" s="20" t="s">
        <v>120</v>
      </c>
      <c r="K178" s="19">
        <v>46297</v>
      </c>
      <c r="L178" s="20">
        <v>45</v>
      </c>
      <c r="M178" s="21">
        <v>48</v>
      </c>
      <c r="N178" s="22">
        <f t="shared" si="11"/>
        <v>2160</v>
      </c>
      <c r="O178" s="24" t="str">
        <f t="shared" si="8"/>
        <v>N</v>
      </c>
      <c r="P178" s="21">
        <f t="shared" si="9"/>
        <v>2160</v>
      </c>
    </row>
    <row r="179" spans="1:16">
      <c r="A179" s="18">
        <v>276</v>
      </c>
      <c r="B179" s="19">
        <v>45558</v>
      </c>
      <c r="C179" s="20" t="str">
        <f t="shared" si="10"/>
        <v>Sep</v>
      </c>
      <c r="D179" s="20" t="s">
        <v>10</v>
      </c>
      <c r="E179" s="20" t="s">
        <v>51</v>
      </c>
      <c r="F179" s="20" t="s">
        <v>64</v>
      </c>
      <c r="G179" s="20" t="str">
        <f>VLOOKUP(F179,'CUSTOMER INFO'!B10:D17,2,FALSE)</f>
        <v>CarePlus Medical Store</v>
      </c>
      <c r="H179" s="20" t="str">
        <f>VLOOKUP(F179,'CUSTOMER INFO'!B10:D17,3,FALSE)</f>
        <v>Riya Mishra</v>
      </c>
      <c r="I179" s="20" t="s">
        <v>56</v>
      </c>
      <c r="J179" s="20" t="s">
        <v>121</v>
      </c>
      <c r="K179" s="19">
        <v>46357</v>
      </c>
      <c r="L179" s="20">
        <v>35</v>
      </c>
      <c r="M179" s="21">
        <v>95</v>
      </c>
      <c r="N179" s="22">
        <f t="shared" si="11"/>
        <v>3325</v>
      </c>
      <c r="O179" s="24" t="str">
        <f t="shared" si="8"/>
        <v>N</v>
      </c>
      <c r="P179" s="21">
        <f t="shared" si="9"/>
        <v>3325</v>
      </c>
    </row>
    <row r="180" spans="1:16">
      <c r="A180" s="18">
        <v>277</v>
      </c>
      <c r="B180" s="19">
        <v>45559</v>
      </c>
      <c r="C180" s="20" t="str">
        <f t="shared" si="10"/>
        <v>Sep</v>
      </c>
      <c r="D180" s="20" t="s">
        <v>4</v>
      </c>
      <c r="E180" s="20" t="s">
        <v>39</v>
      </c>
      <c r="F180" s="20" t="s">
        <v>40</v>
      </c>
      <c r="G180" s="20" t="str">
        <f>VLOOKUP(F180,'CUSTOMER INFO'!B3:D10,2,FALSE)</f>
        <v>Shree Medical &amp; General Store</v>
      </c>
      <c r="H180" s="20" t="str">
        <f>VLOOKUP(F180,'CUSTOMER INFO'!B3:D10,3,FALSE)</f>
        <v>Abhijeet Kulkarni</v>
      </c>
      <c r="I180" s="20" t="s">
        <v>59</v>
      </c>
      <c r="J180" s="20" t="s">
        <v>122</v>
      </c>
      <c r="K180" s="19">
        <v>46235</v>
      </c>
      <c r="L180" s="20">
        <v>58</v>
      </c>
      <c r="M180" s="21">
        <v>18</v>
      </c>
      <c r="N180" s="22">
        <f t="shared" si="11"/>
        <v>1044</v>
      </c>
      <c r="O180" s="24" t="str">
        <f t="shared" si="8"/>
        <v>N</v>
      </c>
      <c r="P180" s="21">
        <f t="shared" si="9"/>
        <v>1044</v>
      </c>
    </row>
    <row r="181" spans="1:16">
      <c r="A181" s="18">
        <v>278</v>
      </c>
      <c r="B181" s="19">
        <v>45560</v>
      </c>
      <c r="C181" s="20" t="str">
        <f t="shared" si="10"/>
        <v>Sep</v>
      </c>
      <c r="D181" s="20" t="s">
        <v>6</v>
      </c>
      <c r="E181" s="20" t="s">
        <v>43</v>
      </c>
      <c r="F181" s="20" t="s">
        <v>44</v>
      </c>
      <c r="G181" s="20" t="str">
        <f>VLOOKUP(F181,'CUSTOMER INFO'!B4:D11,2,FALSE)</f>
        <v>JeevanCare Medical Store</v>
      </c>
      <c r="H181" s="20" t="str">
        <f>VLOOKUP(F181,'CUSTOMER INFO'!B4:D11,3,FALSE)</f>
        <v>Neha Patel</v>
      </c>
      <c r="I181" s="20" t="s">
        <v>62</v>
      </c>
      <c r="J181" s="20" t="s">
        <v>123</v>
      </c>
      <c r="K181" s="19">
        <v>45870</v>
      </c>
      <c r="L181" s="20">
        <v>65</v>
      </c>
      <c r="M181" s="21">
        <v>75</v>
      </c>
      <c r="N181" s="22">
        <f t="shared" si="11"/>
        <v>4875</v>
      </c>
      <c r="O181" s="24" t="str">
        <f t="shared" si="8"/>
        <v>Y</v>
      </c>
      <c r="P181" s="21">
        <f t="shared" si="9"/>
        <v>4631.25</v>
      </c>
    </row>
    <row r="182" spans="1:16">
      <c r="A182" s="18">
        <v>279</v>
      </c>
      <c r="B182" s="19">
        <v>45561</v>
      </c>
      <c r="C182" s="20" t="str">
        <f t="shared" si="10"/>
        <v>Sep</v>
      </c>
      <c r="D182" s="20" t="s">
        <v>9</v>
      </c>
      <c r="E182" s="20" t="s">
        <v>47</v>
      </c>
      <c r="F182" s="20" t="s">
        <v>48</v>
      </c>
      <c r="G182" s="20" t="str">
        <f>VLOOKUP(F182,'CUSTOMER INFO'!B5:D12,2,FALSE)</f>
        <v>Arogya Medical &amp; General</v>
      </c>
      <c r="H182" s="20" t="str">
        <f>VLOOKUP(F182,'CUSTOMER INFO'!B5:D12,3,FALSE)</f>
        <v>Hrishkesh Jadhv</v>
      </c>
      <c r="I182" s="20" t="s">
        <v>65</v>
      </c>
      <c r="J182" s="20" t="s">
        <v>124</v>
      </c>
      <c r="K182" s="19">
        <v>46266</v>
      </c>
      <c r="L182" s="20">
        <v>28</v>
      </c>
      <c r="M182" s="21">
        <v>55</v>
      </c>
      <c r="N182" s="22">
        <f t="shared" si="11"/>
        <v>1540</v>
      </c>
      <c r="O182" s="24" t="str">
        <f t="shared" si="8"/>
        <v>N</v>
      </c>
      <c r="P182" s="21">
        <f t="shared" si="9"/>
        <v>1540</v>
      </c>
    </row>
    <row r="183" spans="1:16">
      <c r="A183" s="18">
        <v>280</v>
      </c>
      <c r="B183" s="19">
        <v>45562</v>
      </c>
      <c r="C183" s="20" t="str">
        <f t="shared" si="10"/>
        <v>Sep</v>
      </c>
      <c r="D183" s="20" t="s">
        <v>7</v>
      </c>
      <c r="E183" s="20" t="s">
        <v>51</v>
      </c>
      <c r="F183" s="20" t="s">
        <v>52</v>
      </c>
      <c r="G183" s="20" t="str">
        <f>VLOOKUP(F183,'CUSTOMER INFO'!B6:D13,2,FALSE)</f>
        <v>MedEase</v>
      </c>
      <c r="H183" s="20" t="str">
        <f>VLOOKUP(F183,'CUSTOMER INFO'!B6:D13,3,FALSE)</f>
        <v>Siddant Patil</v>
      </c>
      <c r="I183" s="20" t="s">
        <v>67</v>
      </c>
      <c r="J183" s="20" t="s">
        <v>125</v>
      </c>
      <c r="K183" s="19">
        <v>45870</v>
      </c>
      <c r="L183" s="20">
        <v>48</v>
      </c>
      <c r="M183" s="21">
        <v>32</v>
      </c>
      <c r="N183" s="22">
        <f t="shared" si="11"/>
        <v>1536</v>
      </c>
      <c r="O183" s="24" t="str">
        <f t="shared" si="8"/>
        <v>N</v>
      </c>
      <c r="P183" s="21">
        <f t="shared" si="9"/>
        <v>1536</v>
      </c>
    </row>
    <row r="184" spans="1:16">
      <c r="A184" s="18">
        <v>281</v>
      </c>
      <c r="B184" s="19">
        <v>45563</v>
      </c>
      <c r="C184" s="20" t="str">
        <f t="shared" si="10"/>
        <v>Sep</v>
      </c>
      <c r="D184" s="20" t="s">
        <v>3</v>
      </c>
      <c r="E184" s="20" t="s">
        <v>39</v>
      </c>
      <c r="F184" s="20" t="s">
        <v>55</v>
      </c>
      <c r="G184" s="20" t="str">
        <f>VLOOKUP(F184,'CUSTOMER INFO'!B7:D14,2,FALSE)</f>
        <v>CityMed Pharmacy</v>
      </c>
      <c r="H184" s="20" t="str">
        <f>VLOOKUP(F184,'CUSTOMER INFO'!B7:D14,3,FALSE)</f>
        <v>Vikram Shah</v>
      </c>
      <c r="I184" s="20" t="s">
        <v>41</v>
      </c>
      <c r="J184" s="20" t="s">
        <v>106</v>
      </c>
      <c r="K184" s="19">
        <v>46266</v>
      </c>
      <c r="L184" s="20">
        <v>38</v>
      </c>
      <c r="M184" s="21">
        <v>90</v>
      </c>
      <c r="N184" s="22">
        <f t="shared" si="11"/>
        <v>3420</v>
      </c>
      <c r="O184" s="24" t="str">
        <f t="shared" si="8"/>
        <v>N</v>
      </c>
      <c r="P184" s="21">
        <f t="shared" si="9"/>
        <v>3420</v>
      </c>
    </row>
    <row r="185" spans="1:16">
      <c r="A185" s="18">
        <v>282</v>
      </c>
      <c r="B185" s="19">
        <v>45564</v>
      </c>
      <c r="C185" s="20" t="str">
        <f t="shared" si="10"/>
        <v>Sep</v>
      </c>
      <c r="D185" s="20" t="s">
        <v>8</v>
      </c>
      <c r="E185" s="20" t="s">
        <v>43</v>
      </c>
      <c r="F185" s="20" t="s">
        <v>58</v>
      </c>
      <c r="G185" s="20" t="str">
        <f>VLOOKUP(F185,'CUSTOMER INFO'!B8:D15,2,FALSE)</f>
        <v>TrustCare Medicals</v>
      </c>
      <c r="H185" s="20" t="str">
        <f>VLOOKUP(F185,'CUSTOMER INFO'!B8:D15,3,FALSE)</f>
        <v>Pooja Sharma</v>
      </c>
      <c r="I185" s="20" t="s">
        <v>45</v>
      </c>
      <c r="J185" s="20" t="s">
        <v>107</v>
      </c>
      <c r="K185" s="19">
        <v>46357</v>
      </c>
      <c r="L185" s="20">
        <v>48</v>
      </c>
      <c r="M185" s="21">
        <v>20</v>
      </c>
      <c r="N185" s="22">
        <f t="shared" si="11"/>
        <v>960</v>
      </c>
      <c r="O185" s="24" t="str">
        <f t="shared" si="8"/>
        <v>N</v>
      </c>
      <c r="P185" s="21">
        <f t="shared" si="9"/>
        <v>960</v>
      </c>
    </row>
    <row r="186" spans="1:16">
      <c r="A186" s="18">
        <v>283</v>
      </c>
      <c r="B186" s="19">
        <v>45565</v>
      </c>
      <c r="C186" s="20" t="str">
        <f t="shared" si="10"/>
        <v>Sep</v>
      </c>
      <c r="D186" s="20" t="s">
        <v>5</v>
      </c>
      <c r="E186" s="20" t="s">
        <v>39</v>
      </c>
      <c r="F186" s="20" t="s">
        <v>61</v>
      </c>
      <c r="G186" s="20" t="str">
        <f>VLOOKUP(F186,'CUSTOMER INFO'!B9:D16,2,FALSE)</f>
        <v>Lifeline Medicals</v>
      </c>
      <c r="H186" s="20" t="str">
        <f>VLOOKUP(F186,'CUSTOMER INFO'!B9:D16,3,FALSE)</f>
        <v>Harshal Singh</v>
      </c>
      <c r="I186" s="20" t="s">
        <v>49</v>
      </c>
      <c r="J186" s="20" t="s">
        <v>108</v>
      </c>
      <c r="K186" s="19">
        <v>46296</v>
      </c>
      <c r="L186" s="20">
        <v>58</v>
      </c>
      <c r="M186" s="21">
        <v>35</v>
      </c>
      <c r="N186" s="22">
        <f t="shared" si="11"/>
        <v>2030</v>
      </c>
      <c r="O186" s="24" t="str">
        <f t="shared" si="8"/>
        <v>N</v>
      </c>
      <c r="P186" s="21">
        <f t="shared" si="9"/>
        <v>2030</v>
      </c>
    </row>
    <row r="187" spans="1:16">
      <c r="A187" s="18">
        <v>284</v>
      </c>
      <c r="B187" s="19">
        <v>45566</v>
      </c>
      <c r="C187" s="20" t="str">
        <f t="shared" si="10"/>
        <v>Oct</v>
      </c>
      <c r="D187" s="20" t="s">
        <v>10</v>
      </c>
      <c r="E187" s="20" t="s">
        <v>43</v>
      </c>
      <c r="F187" s="20" t="s">
        <v>64</v>
      </c>
      <c r="G187" s="20" t="str">
        <f>VLOOKUP(F187,'CUSTOMER INFO'!B10:D17,2,FALSE)</f>
        <v>CarePlus Medical Store</v>
      </c>
      <c r="H187" s="20" t="str">
        <f>VLOOKUP(F187,'CUSTOMER INFO'!B10:D17,3,FALSE)</f>
        <v>Riya Mishra</v>
      </c>
      <c r="I187" s="20" t="s">
        <v>53</v>
      </c>
      <c r="J187" s="20" t="s">
        <v>109</v>
      </c>
      <c r="K187" s="19">
        <v>46083</v>
      </c>
      <c r="L187" s="20">
        <v>35</v>
      </c>
      <c r="M187" s="21">
        <v>42</v>
      </c>
      <c r="N187" s="22">
        <f t="shared" si="11"/>
        <v>1470</v>
      </c>
      <c r="O187" s="24" t="str">
        <f t="shared" si="8"/>
        <v>N</v>
      </c>
      <c r="P187" s="21">
        <f t="shared" si="9"/>
        <v>1470</v>
      </c>
    </row>
    <row r="188" spans="1:16">
      <c r="A188" s="18">
        <v>285</v>
      </c>
      <c r="B188" s="19">
        <v>45567</v>
      </c>
      <c r="C188" s="20" t="str">
        <f t="shared" si="10"/>
        <v>Oct</v>
      </c>
      <c r="D188" s="20" t="s">
        <v>4</v>
      </c>
      <c r="E188" s="20" t="s">
        <v>47</v>
      </c>
      <c r="F188" s="20" t="s">
        <v>40</v>
      </c>
      <c r="G188" s="20" t="str">
        <f>VLOOKUP(F188,'CUSTOMER INFO'!B3:D10,2,FALSE)</f>
        <v>Shree Medical &amp; General Store</v>
      </c>
      <c r="H188" s="20" t="str">
        <f>VLOOKUP(F188,'CUSTOMER INFO'!B3:D10,3,FALSE)</f>
        <v>Abhijeet Kulkarni</v>
      </c>
      <c r="I188" s="20" t="s">
        <v>56</v>
      </c>
      <c r="J188" s="20" t="s">
        <v>110</v>
      </c>
      <c r="K188" s="19">
        <v>46381</v>
      </c>
      <c r="L188" s="20">
        <v>22</v>
      </c>
      <c r="M188" s="21">
        <v>22</v>
      </c>
      <c r="N188" s="22">
        <f t="shared" si="11"/>
        <v>484</v>
      </c>
      <c r="O188" s="24" t="str">
        <f t="shared" si="8"/>
        <v>N</v>
      </c>
      <c r="P188" s="21">
        <f t="shared" si="9"/>
        <v>484</v>
      </c>
    </row>
    <row r="189" spans="1:16">
      <c r="A189" s="18">
        <v>286</v>
      </c>
      <c r="B189" s="19">
        <v>45568</v>
      </c>
      <c r="C189" s="20" t="str">
        <f t="shared" si="10"/>
        <v>Oct</v>
      </c>
      <c r="D189" s="20" t="s">
        <v>6</v>
      </c>
      <c r="E189" s="20" t="s">
        <v>51</v>
      </c>
      <c r="F189" s="20" t="s">
        <v>44</v>
      </c>
      <c r="G189" s="20" t="str">
        <f>VLOOKUP(F189,'CUSTOMER INFO'!B4:D11,2,FALSE)</f>
        <v>JeevanCare Medical Store</v>
      </c>
      <c r="H189" s="20" t="str">
        <f>VLOOKUP(F189,'CUSTOMER INFO'!B4:D11,3,FALSE)</f>
        <v>Neha Patel</v>
      </c>
      <c r="I189" s="20" t="s">
        <v>59</v>
      </c>
      <c r="J189" s="20" t="s">
        <v>111</v>
      </c>
      <c r="K189" s="19">
        <v>46115</v>
      </c>
      <c r="L189" s="20">
        <v>26</v>
      </c>
      <c r="M189" s="21">
        <v>48</v>
      </c>
      <c r="N189" s="22">
        <f t="shared" si="11"/>
        <v>1248</v>
      </c>
      <c r="O189" s="24" t="str">
        <f t="shared" si="8"/>
        <v>N</v>
      </c>
      <c r="P189" s="21">
        <f t="shared" si="9"/>
        <v>1248</v>
      </c>
    </row>
    <row r="190" spans="1:16">
      <c r="A190" s="18">
        <v>287</v>
      </c>
      <c r="B190" s="19">
        <v>45569</v>
      </c>
      <c r="C190" s="20" t="str">
        <f t="shared" si="10"/>
        <v>Oct</v>
      </c>
      <c r="D190" s="20" t="s">
        <v>9</v>
      </c>
      <c r="E190" s="20" t="s">
        <v>39</v>
      </c>
      <c r="F190" s="20" t="s">
        <v>48</v>
      </c>
      <c r="G190" s="20" t="str">
        <f>VLOOKUP(F190,'CUSTOMER INFO'!B5:D12,2,FALSE)</f>
        <v>Arogya Medical &amp; General</v>
      </c>
      <c r="H190" s="20" t="str">
        <f>VLOOKUP(F190,'CUSTOMER INFO'!B5:D12,3,FALSE)</f>
        <v>Hrishkesh Jadhv</v>
      </c>
      <c r="I190" s="20" t="s">
        <v>62</v>
      </c>
      <c r="J190" s="20" t="s">
        <v>112</v>
      </c>
      <c r="K190" s="19">
        <v>46178</v>
      </c>
      <c r="L190" s="20">
        <v>68</v>
      </c>
      <c r="M190" s="21">
        <v>95</v>
      </c>
      <c r="N190" s="22">
        <f t="shared" si="11"/>
        <v>6460</v>
      </c>
      <c r="O190" s="24" t="str">
        <f t="shared" si="8"/>
        <v>Y</v>
      </c>
      <c r="P190" s="21">
        <f t="shared" si="9"/>
        <v>6137</v>
      </c>
    </row>
    <row r="191" spans="1:16">
      <c r="A191" s="18">
        <v>288</v>
      </c>
      <c r="B191" s="19">
        <v>45570</v>
      </c>
      <c r="C191" s="20" t="str">
        <f t="shared" si="10"/>
        <v>Oct</v>
      </c>
      <c r="D191" s="20" t="s">
        <v>9</v>
      </c>
      <c r="E191" s="20" t="s">
        <v>43</v>
      </c>
      <c r="F191" s="20" t="s">
        <v>52</v>
      </c>
      <c r="G191" s="20" t="str">
        <f>VLOOKUP(F191,'CUSTOMER INFO'!B6:D13,2,FALSE)</f>
        <v>MedEase</v>
      </c>
      <c r="H191" s="20" t="str">
        <f>VLOOKUP(F191,'CUSTOMER INFO'!B6:D13,3,FALSE)</f>
        <v>Siddant Patil</v>
      </c>
      <c r="I191" s="20" t="s">
        <v>65</v>
      </c>
      <c r="J191" s="20" t="s">
        <v>113</v>
      </c>
      <c r="K191" s="19">
        <v>46297</v>
      </c>
      <c r="L191" s="20">
        <v>45</v>
      </c>
      <c r="M191" s="21">
        <v>18</v>
      </c>
      <c r="N191" s="22">
        <f t="shared" si="11"/>
        <v>810</v>
      </c>
      <c r="O191" s="24" t="str">
        <f t="shared" si="8"/>
        <v>N</v>
      </c>
      <c r="P191" s="21">
        <f t="shared" si="9"/>
        <v>810</v>
      </c>
    </row>
    <row r="192" spans="1:16">
      <c r="A192" s="18">
        <v>289</v>
      </c>
      <c r="B192" s="19">
        <v>45571</v>
      </c>
      <c r="C192" s="20" t="str">
        <f t="shared" si="10"/>
        <v>Oct</v>
      </c>
      <c r="D192" s="20" t="s">
        <v>7</v>
      </c>
      <c r="E192" s="20" t="s">
        <v>47</v>
      </c>
      <c r="F192" s="20" t="s">
        <v>55</v>
      </c>
      <c r="G192" s="20" t="str">
        <f>VLOOKUP(F192,'CUSTOMER INFO'!B7:D14,2,FALSE)</f>
        <v>CityMed Pharmacy</v>
      </c>
      <c r="H192" s="20" t="str">
        <f>VLOOKUP(F192,'CUSTOMER INFO'!B7:D14,3,FALSE)</f>
        <v>Vikram Shah</v>
      </c>
      <c r="I192" s="20" t="s">
        <v>67</v>
      </c>
      <c r="J192" s="20" t="s">
        <v>114</v>
      </c>
      <c r="K192" s="19">
        <v>46357</v>
      </c>
      <c r="L192" s="20">
        <v>59</v>
      </c>
      <c r="M192" s="21">
        <v>75</v>
      </c>
      <c r="N192" s="22">
        <f t="shared" si="11"/>
        <v>4425</v>
      </c>
      <c r="O192" s="24" t="str">
        <f t="shared" si="8"/>
        <v>N</v>
      </c>
      <c r="P192" s="21">
        <f t="shared" si="9"/>
        <v>4425</v>
      </c>
    </row>
    <row r="193" spans="1:16">
      <c r="A193" s="18">
        <v>290</v>
      </c>
      <c r="B193" s="19">
        <v>45572</v>
      </c>
      <c r="C193" s="20" t="str">
        <f t="shared" si="10"/>
        <v>Oct</v>
      </c>
      <c r="D193" s="20" t="s">
        <v>3</v>
      </c>
      <c r="E193" s="20" t="s">
        <v>51</v>
      </c>
      <c r="F193" s="20" t="s">
        <v>58</v>
      </c>
      <c r="G193" s="20" t="str">
        <f>VLOOKUP(F193,'CUSTOMER INFO'!B8:D15,2,FALSE)</f>
        <v>TrustCare Medicals</v>
      </c>
      <c r="H193" s="20" t="str">
        <f>VLOOKUP(F193,'CUSTOMER INFO'!B8:D15,3,FALSE)</f>
        <v>Pooja Sharma</v>
      </c>
      <c r="I193" s="20" t="s">
        <v>69</v>
      </c>
      <c r="J193" s="20" t="s">
        <v>115</v>
      </c>
      <c r="K193" s="19">
        <v>46235</v>
      </c>
      <c r="L193" s="20">
        <v>45</v>
      </c>
      <c r="M193" s="21">
        <v>55</v>
      </c>
      <c r="N193" s="22">
        <f t="shared" si="11"/>
        <v>2475</v>
      </c>
      <c r="O193" s="24" t="str">
        <f t="shared" si="8"/>
        <v>N</v>
      </c>
      <c r="P193" s="21">
        <f t="shared" si="9"/>
        <v>2475</v>
      </c>
    </row>
    <row r="194" spans="1:16">
      <c r="A194" s="18">
        <v>291</v>
      </c>
      <c r="B194" s="19">
        <v>45573</v>
      </c>
      <c r="C194" s="20" t="str">
        <f t="shared" si="10"/>
        <v>Oct</v>
      </c>
      <c r="D194" s="20" t="s">
        <v>8</v>
      </c>
      <c r="E194" s="20" t="s">
        <v>39</v>
      </c>
      <c r="F194" s="20" t="s">
        <v>61</v>
      </c>
      <c r="G194" s="20" t="str">
        <f>VLOOKUP(F194,'CUSTOMER INFO'!B9:D16,2,FALSE)</f>
        <v>Lifeline Medicals</v>
      </c>
      <c r="H194" s="20" t="str">
        <f>VLOOKUP(F194,'CUSTOMER INFO'!B9:D16,3,FALSE)</f>
        <v>Harshal Singh</v>
      </c>
      <c r="I194" s="20" t="s">
        <v>71</v>
      </c>
      <c r="J194" s="20" t="s">
        <v>116</v>
      </c>
      <c r="K194" s="19">
        <v>45870</v>
      </c>
      <c r="L194" s="20">
        <v>35</v>
      </c>
      <c r="M194" s="21">
        <v>32</v>
      </c>
      <c r="N194" s="22">
        <f t="shared" si="11"/>
        <v>1120</v>
      </c>
      <c r="O194" s="24" t="str">
        <f t="shared" si="8"/>
        <v>N</v>
      </c>
      <c r="P194" s="21">
        <f t="shared" si="9"/>
        <v>1120</v>
      </c>
    </row>
    <row r="195" spans="1:16">
      <c r="A195" s="18">
        <v>292</v>
      </c>
      <c r="B195" s="19">
        <v>45574</v>
      </c>
      <c r="C195" s="20" t="str">
        <f t="shared" si="10"/>
        <v>Oct</v>
      </c>
      <c r="D195" s="20" t="s">
        <v>5</v>
      </c>
      <c r="E195" s="20" t="s">
        <v>43</v>
      </c>
      <c r="F195" s="20" t="s">
        <v>64</v>
      </c>
      <c r="G195" s="20" t="str">
        <f>VLOOKUP(F195,'CUSTOMER INFO'!B10:D17,2,FALSE)</f>
        <v>CarePlus Medical Store</v>
      </c>
      <c r="H195" s="20" t="str">
        <f>VLOOKUP(F195,'CUSTOMER INFO'!B10:D17,3,FALSE)</f>
        <v>Riya Mishra</v>
      </c>
      <c r="I195" s="20" t="s">
        <v>41</v>
      </c>
      <c r="J195" s="20" t="s">
        <v>117</v>
      </c>
      <c r="K195" s="19">
        <v>46266</v>
      </c>
      <c r="L195" s="20">
        <v>58</v>
      </c>
      <c r="M195" s="21">
        <v>90</v>
      </c>
      <c r="N195" s="22">
        <f t="shared" si="11"/>
        <v>5220</v>
      </c>
      <c r="O195" s="24" t="str">
        <f t="shared" si="8"/>
        <v>N</v>
      </c>
      <c r="P195" s="21">
        <f t="shared" si="9"/>
        <v>5220</v>
      </c>
    </row>
    <row r="196" spans="1:16">
      <c r="A196" s="18">
        <v>293</v>
      </c>
      <c r="B196" s="19">
        <v>45575</v>
      </c>
      <c r="C196" s="20" t="str">
        <f t="shared" si="10"/>
        <v>Oct</v>
      </c>
      <c r="D196" s="20" t="s">
        <v>10</v>
      </c>
      <c r="E196" s="20" t="s">
        <v>47</v>
      </c>
      <c r="F196" s="20" t="s">
        <v>40</v>
      </c>
      <c r="G196" s="20" t="str">
        <f>VLOOKUP(F196,'CUSTOMER INFO'!B3:D10,2,FALSE)</f>
        <v>Shree Medical &amp; General Store</v>
      </c>
      <c r="H196" s="20" t="str">
        <f>VLOOKUP(F196,'CUSTOMER INFO'!B3:D10,3,FALSE)</f>
        <v>Abhijeet Kulkarni</v>
      </c>
      <c r="I196" s="20" t="s">
        <v>45</v>
      </c>
      <c r="J196" s="20" t="s">
        <v>118</v>
      </c>
      <c r="K196" s="19">
        <v>45870</v>
      </c>
      <c r="L196" s="20">
        <v>65</v>
      </c>
      <c r="M196" s="21">
        <v>20</v>
      </c>
      <c r="N196" s="22">
        <f t="shared" si="11"/>
        <v>1300</v>
      </c>
      <c r="O196" s="24" t="str">
        <f t="shared" ref="O196:O259" si="12">IF(L196&gt;=60,"Y","N")</f>
        <v>Y</v>
      </c>
      <c r="P196" s="21">
        <f t="shared" ref="P196:P259" si="13">IF(L196&gt;=60,0.95*N196,N196)</f>
        <v>1235</v>
      </c>
    </row>
    <row r="197" spans="1:16">
      <c r="A197" s="18">
        <v>294</v>
      </c>
      <c r="B197" s="19">
        <v>45576</v>
      </c>
      <c r="C197" s="20" t="str">
        <f t="shared" ref="C197:C260" si="14">TEXT(B197,"mmm")</f>
        <v>Oct</v>
      </c>
      <c r="D197" s="20" t="s">
        <v>4</v>
      </c>
      <c r="E197" s="20" t="s">
        <v>51</v>
      </c>
      <c r="F197" s="20" t="s">
        <v>44</v>
      </c>
      <c r="G197" s="20" t="str">
        <f>VLOOKUP(F197,'CUSTOMER INFO'!B4:D11,2,FALSE)</f>
        <v>JeevanCare Medical Store</v>
      </c>
      <c r="H197" s="20" t="str">
        <f>VLOOKUP(F197,'CUSTOMER INFO'!B4:D11,3,FALSE)</f>
        <v>Neha Patel</v>
      </c>
      <c r="I197" s="20" t="s">
        <v>49</v>
      </c>
      <c r="J197" s="20" t="s">
        <v>119</v>
      </c>
      <c r="K197" s="19">
        <v>46266</v>
      </c>
      <c r="L197" s="20">
        <v>28</v>
      </c>
      <c r="M197" s="21">
        <v>35</v>
      </c>
      <c r="N197" s="22">
        <f t="shared" ref="N197:N260" si="15">L197*M197</f>
        <v>980</v>
      </c>
      <c r="O197" s="24" t="str">
        <f t="shared" si="12"/>
        <v>N</v>
      </c>
      <c r="P197" s="21">
        <f t="shared" si="13"/>
        <v>980</v>
      </c>
    </row>
    <row r="198" spans="1:16">
      <c r="A198" s="18">
        <v>295</v>
      </c>
      <c r="B198" s="19">
        <v>45577</v>
      </c>
      <c r="C198" s="20" t="str">
        <f t="shared" si="14"/>
        <v>Oct</v>
      </c>
      <c r="D198" s="20" t="s">
        <v>6</v>
      </c>
      <c r="E198" s="20" t="s">
        <v>39</v>
      </c>
      <c r="F198" s="20" t="s">
        <v>40</v>
      </c>
      <c r="G198" s="20" t="str">
        <f>VLOOKUP(F198,'CUSTOMER INFO'!B3:D10,2,FALSE)</f>
        <v>Shree Medical &amp; General Store</v>
      </c>
      <c r="H198" s="20" t="str">
        <f>VLOOKUP(F198,'CUSTOMER INFO'!B3:D10,3,FALSE)</f>
        <v>Abhijeet Kulkarni</v>
      </c>
      <c r="I198" s="20" t="s">
        <v>53</v>
      </c>
      <c r="J198" s="20" t="s">
        <v>120</v>
      </c>
      <c r="K198" s="19">
        <v>46357</v>
      </c>
      <c r="L198" s="20">
        <v>48</v>
      </c>
      <c r="M198" s="21">
        <v>42</v>
      </c>
      <c r="N198" s="22">
        <f t="shared" si="15"/>
        <v>2016</v>
      </c>
      <c r="O198" s="24" t="str">
        <f t="shared" si="12"/>
        <v>N</v>
      </c>
      <c r="P198" s="21">
        <f t="shared" si="13"/>
        <v>2016</v>
      </c>
    </row>
    <row r="199" spans="1:16">
      <c r="A199" s="18">
        <v>296</v>
      </c>
      <c r="B199" s="19">
        <v>45578</v>
      </c>
      <c r="C199" s="20" t="str">
        <f t="shared" si="14"/>
        <v>Oct</v>
      </c>
      <c r="D199" s="20" t="s">
        <v>9</v>
      </c>
      <c r="E199" s="20" t="s">
        <v>43</v>
      </c>
      <c r="F199" s="20" t="s">
        <v>44</v>
      </c>
      <c r="G199" s="20" t="str">
        <f>VLOOKUP(F199,'CUSTOMER INFO'!B4:D11,2,FALSE)</f>
        <v>JeevanCare Medical Store</v>
      </c>
      <c r="H199" s="20" t="str">
        <f>VLOOKUP(F199,'CUSTOMER INFO'!B4:D11,3,FALSE)</f>
        <v>Neha Patel</v>
      </c>
      <c r="I199" s="20" t="s">
        <v>56</v>
      </c>
      <c r="J199" s="20" t="s">
        <v>121</v>
      </c>
      <c r="K199" s="19">
        <v>46296</v>
      </c>
      <c r="L199" s="20">
        <v>38</v>
      </c>
      <c r="M199" s="21">
        <v>22</v>
      </c>
      <c r="N199" s="22">
        <f t="shared" si="15"/>
        <v>836</v>
      </c>
      <c r="O199" s="24" t="str">
        <f t="shared" si="12"/>
        <v>N</v>
      </c>
      <c r="P199" s="21">
        <f t="shared" si="13"/>
        <v>836</v>
      </c>
    </row>
    <row r="200" spans="1:16">
      <c r="A200" s="18">
        <v>297</v>
      </c>
      <c r="B200" s="19">
        <v>45579</v>
      </c>
      <c r="C200" s="20" t="str">
        <f t="shared" si="14"/>
        <v>Oct</v>
      </c>
      <c r="D200" s="20" t="s">
        <v>7</v>
      </c>
      <c r="E200" s="20" t="s">
        <v>39</v>
      </c>
      <c r="F200" s="20" t="s">
        <v>48</v>
      </c>
      <c r="G200" s="20" t="str">
        <f>VLOOKUP(F200,'CUSTOMER INFO'!B5:D12,2,FALSE)</f>
        <v>Arogya Medical &amp; General</v>
      </c>
      <c r="H200" s="20" t="str">
        <f>VLOOKUP(F200,'CUSTOMER INFO'!B5:D12,3,FALSE)</f>
        <v>Hrishkesh Jadhv</v>
      </c>
      <c r="I200" s="20" t="s">
        <v>59</v>
      </c>
      <c r="J200" s="20" t="s">
        <v>122</v>
      </c>
      <c r="K200" s="19">
        <v>46083</v>
      </c>
      <c r="L200" s="20">
        <v>48</v>
      </c>
      <c r="M200" s="21">
        <v>48</v>
      </c>
      <c r="N200" s="22">
        <f t="shared" si="15"/>
        <v>2304</v>
      </c>
      <c r="O200" s="24" t="str">
        <f t="shared" si="12"/>
        <v>N</v>
      </c>
      <c r="P200" s="21">
        <f t="shared" si="13"/>
        <v>2304</v>
      </c>
    </row>
    <row r="201" spans="1:16">
      <c r="A201" s="18">
        <v>298</v>
      </c>
      <c r="B201" s="19">
        <v>45580</v>
      </c>
      <c r="C201" s="20" t="str">
        <f t="shared" si="14"/>
        <v>Oct</v>
      </c>
      <c r="D201" s="20" t="s">
        <v>3</v>
      </c>
      <c r="E201" s="20" t="s">
        <v>43</v>
      </c>
      <c r="F201" s="20" t="s">
        <v>52</v>
      </c>
      <c r="G201" s="20" t="str">
        <f>VLOOKUP(F201,'CUSTOMER INFO'!B6:D13,2,FALSE)</f>
        <v>MedEase</v>
      </c>
      <c r="H201" s="20" t="str">
        <f>VLOOKUP(F201,'CUSTOMER INFO'!B6:D13,3,FALSE)</f>
        <v>Siddant Patil</v>
      </c>
      <c r="I201" s="20" t="s">
        <v>62</v>
      </c>
      <c r="J201" s="20" t="s">
        <v>123</v>
      </c>
      <c r="K201" s="19">
        <v>46381</v>
      </c>
      <c r="L201" s="20">
        <v>58</v>
      </c>
      <c r="M201" s="21">
        <v>95</v>
      </c>
      <c r="N201" s="22">
        <f t="shared" si="15"/>
        <v>5510</v>
      </c>
      <c r="O201" s="24" t="str">
        <f t="shared" si="12"/>
        <v>N</v>
      </c>
      <c r="P201" s="21">
        <f t="shared" si="13"/>
        <v>5510</v>
      </c>
    </row>
    <row r="202" spans="1:16">
      <c r="A202" s="18">
        <v>299</v>
      </c>
      <c r="B202" s="19">
        <v>45581</v>
      </c>
      <c r="C202" s="20" t="str">
        <f t="shared" si="14"/>
        <v>Oct</v>
      </c>
      <c r="D202" s="20" t="s">
        <v>8</v>
      </c>
      <c r="E202" s="20" t="s">
        <v>47</v>
      </c>
      <c r="F202" s="20" t="s">
        <v>55</v>
      </c>
      <c r="G202" s="20" t="str">
        <f>VLOOKUP(F202,'CUSTOMER INFO'!B7:D14,2,FALSE)</f>
        <v>CityMed Pharmacy</v>
      </c>
      <c r="H202" s="20" t="str">
        <f>VLOOKUP(F202,'CUSTOMER INFO'!B7:D14,3,FALSE)</f>
        <v>Vikram Shah</v>
      </c>
      <c r="I202" s="20" t="s">
        <v>41</v>
      </c>
      <c r="J202" s="20" t="s">
        <v>117</v>
      </c>
      <c r="K202" s="19">
        <v>46115</v>
      </c>
      <c r="L202" s="20">
        <v>35</v>
      </c>
      <c r="M202" s="21">
        <v>18</v>
      </c>
      <c r="N202" s="22">
        <f t="shared" si="15"/>
        <v>630</v>
      </c>
      <c r="O202" s="24" t="str">
        <f t="shared" si="12"/>
        <v>N</v>
      </c>
      <c r="P202" s="21">
        <f t="shared" si="13"/>
        <v>630</v>
      </c>
    </row>
    <row r="203" spans="1:16">
      <c r="A203" s="18">
        <v>300</v>
      </c>
      <c r="B203" s="19">
        <v>45582</v>
      </c>
      <c r="C203" s="20" t="str">
        <f t="shared" si="14"/>
        <v>Oct</v>
      </c>
      <c r="D203" s="20" t="s">
        <v>5</v>
      </c>
      <c r="E203" s="20" t="s">
        <v>51</v>
      </c>
      <c r="F203" s="20" t="s">
        <v>58</v>
      </c>
      <c r="G203" s="20" t="str">
        <f>VLOOKUP(F203,'CUSTOMER INFO'!B8:D15,2,FALSE)</f>
        <v>TrustCare Medicals</v>
      </c>
      <c r="H203" s="20" t="str">
        <f>VLOOKUP(F203,'CUSTOMER INFO'!B8:D15,3,FALSE)</f>
        <v>Pooja Sharma</v>
      </c>
      <c r="I203" s="20" t="s">
        <v>45</v>
      </c>
      <c r="J203" s="20" t="s">
        <v>118</v>
      </c>
      <c r="K203" s="19">
        <v>46178</v>
      </c>
      <c r="L203" s="20">
        <v>22</v>
      </c>
      <c r="M203" s="21">
        <v>75</v>
      </c>
      <c r="N203" s="22">
        <f t="shared" si="15"/>
        <v>1650</v>
      </c>
      <c r="O203" s="24" t="str">
        <f t="shared" si="12"/>
        <v>N</v>
      </c>
      <c r="P203" s="21">
        <f t="shared" si="13"/>
        <v>1650</v>
      </c>
    </row>
    <row r="204" spans="1:16">
      <c r="A204" s="18">
        <v>301</v>
      </c>
      <c r="B204" s="19">
        <v>45583</v>
      </c>
      <c r="C204" s="20" t="str">
        <f t="shared" si="14"/>
        <v>Oct</v>
      </c>
      <c r="D204" s="20" t="s">
        <v>10</v>
      </c>
      <c r="E204" s="20" t="s">
        <v>39</v>
      </c>
      <c r="F204" s="20" t="s">
        <v>61</v>
      </c>
      <c r="G204" s="20" t="str">
        <f>VLOOKUP(F204,'CUSTOMER INFO'!B9:D16,2,FALSE)</f>
        <v>Lifeline Medicals</v>
      </c>
      <c r="H204" s="20" t="str">
        <f>VLOOKUP(F204,'CUSTOMER INFO'!B9:D16,3,FALSE)</f>
        <v>Harshal Singh</v>
      </c>
      <c r="I204" s="20" t="s">
        <v>49</v>
      </c>
      <c r="J204" s="20" t="s">
        <v>119</v>
      </c>
      <c r="K204" s="19">
        <v>46297</v>
      </c>
      <c r="L204" s="20">
        <v>26</v>
      </c>
      <c r="M204" s="21">
        <v>55</v>
      </c>
      <c r="N204" s="22">
        <f t="shared" si="15"/>
        <v>1430</v>
      </c>
      <c r="O204" s="24" t="str">
        <f t="shared" si="12"/>
        <v>N</v>
      </c>
      <c r="P204" s="21">
        <f t="shared" si="13"/>
        <v>1430</v>
      </c>
    </row>
    <row r="205" spans="1:16">
      <c r="A205" s="18">
        <v>302</v>
      </c>
      <c r="B205" s="19">
        <v>45584</v>
      </c>
      <c r="C205" s="20" t="str">
        <f t="shared" si="14"/>
        <v>Oct</v>
      </c>
      <c r="D205" s="20" t="s">
        <v>4</v>
      </c>
      <c r="E205" s="20" t="s">
        <v>43</v>
      </c>
      <c r="F205" s="20" t="s">
        <v>64</v>
      </c>
      <c r="G205" s="20" t="str">
        <f>VLOOKUP(F205,'CUSTOMER INFO'!B10:D17,2,FALSE)</f>
        <v>CarePlus Medical Store</v>
      </c>
      <c r="H205" s="20" t="str">
        <f>VLOOKUP(F205,'CUSTOMER INFO'!B10:D17,3,FALSE)</f>
        <v>Riya Mishra</v>
      </c>
      <c r="I205" s="20" t="s">
        <v>53</v>
      </c>
      <c r="J205" s="20" t="s">
        <v>120</v>
      </c>
      <c r="K205" s="19">
        <v>46357</v>
      </c>
      <c r="L205" s="20">
        <v>68</v>
      </c>
      <c r="M205" s="21">
        <v>32</v>
      </c>
      <c r="N205" s="22">
        <f t="shared" si="15"/>
        <v>2176</v>
      </c>
      <c r="O205" s="24" t="str">
        <f t="shared" si="12"/>
        <v>Y</v>
      </c>
      <c r="P205" s="21">
        <f t="shared" si="13"/>
        <v>2067.1999999999998</v>
      </c>
    </row>
    <row r="206" spans="1:16">
      <c r="A206" s="18">
        <v>303</v>
      </c>
      <c r="B206" s="19">
        <v>45585</v>
      </c>
      <c r="C206" s="20" t="str">
        <f t="shared" si="14"/>
        <v>Oct</v>
      </c>
      <c r="D206" s="20" t="s">
        <v>6</v>
      </c>
      <c r="E206" s="20" t="s">
        <v>47</v>
      </c>
      <c r="F206" s="20" t="s">
        <v>40</v>
      </c>
      <c r="G206" s="20" t="str">
        <f>VLOOKUP(F206,'CUSTOMER INFO'!B3:D10,2,FALSE)</f>
        <v>Shree Medical &amp; General Store</v>
      </c>
      <c r="H206" s="20" t="str">
        <f>VLOOKUP(F206,'CUSTOMER INFO'!B3:D10,3,FALSE)</f>
        <v>Abhijeet Kulkarni</v>
      </c>
      <c r="I206" s="20" t="s">
        <v>56</v>
      </c>
      <c r="J206" s="20" t="s">
        <v>121</v>
      </c>
      <c r="K206" s="19">
        <v>46235</v>
      </c>
      <c r="L206" s="20">
        <v>45</v>
      </c>
      <c r="M206" s="21">
        <v>90</v>
      </c>
      <c r="N206" s="22">
        <f t="shared" si="15"/>
        <v>4050</v>
      </c>
      <c r="O206" s="24" t="str">
        <f t="shared" si="12"/>
        <v>N</v>
      </c>
      <c r="P206" s="21">
        <f t="shared" si="13"/>
        <v>4050</v>
      </c>
    </row>
    <row r="207" spans="1:16">
      <c r="A207" s="18">
        <v>304</v>
      </c>
      <c r="B207" s="19">
        <v>45586</v>
      </c>
      <c r="C207" s="20" t="str">
        <f t="shared" si="14"/>
        <v>Oct</v>
      </c>
      <c r="D207" s="20" t="s">
        <v>9</v>
      </c>
      <c r="E207" s="20" t="s">
        <v>51</v>
      </c>
      <c r="F207" s="20" t="s">
        <v>44</v>
      </c>
      <c r="G207" s="20" t="str">
        <f>VLOOKUP(F207,'CUSTOMER INFO'!B4:D11,2,FALSE)</f>
        <v>JeevanCare Medical Store</v>
      </c>
      <c r="H207" s="20" t="str">
        <f>VLOOKUP(F207,'CUSTOMER INFO'!B4:D11,3,FALSE)</f>
        <v>Neha Patel</v>
      </c>
      <c r="I207" s="20" t="s">
        <v>59</v>
      </c>
      <c r="J207" s="20" t="s">
        <v>122</v>
      </c>
      <c r="K207" s="19">
        <v>45870</v>
      </c>
      <c r="L207" s="20">
        <v>59</v>
      </c>
      <c r="M207" s="21">
        <v>20</v>
      </c>
      <c r="N207" s="22">
        <f t="shared" si="15"/>
        <v>1180</v>
      </c>
      <c r="O207" s="24" t="str">
        <f t="shared" si="12"/>
        <v>N</v>
      </c>
      <c r="P207" s="21">
        <f t="shared" si="13"/>
        <v>1180</v>
      </c>
    </row>
    <row r="208" spans="1:16">
      <c r="A208" s="18">
        <v>305</v>
      </c>
      <c r="B208" s="19">
        <v>45587</v>
      </c>
      <c r="C208" s="20" t="str">
        <f t="shared" si="14"/>
        <v>Oct</v>
      </c>
      <c r="D208" s="20" t="s">
        <v>9</v>
      </c>
      <c r="E208" s="20" t="s">
        <v>39</v>
      </c>
      <c r="F208" s="20" t="s">
        <v>48</v>
      </c>
      <c r="G208" s="20" t="str">
        <f>VLOOKUP(F208,'CUSTOMER INFO'!B5:D12,2,FALSE)</f>
        <v>Arogya Medical &amp; General</v>
      </c>
      <c r="H208" s="20" t="str">
        <f>VLOOKUP(F208,'CUSTOMER INFO'!B5:D12,3,FALSE)</f>
        <v>Hrishkesh Jadhv</v>
      </c>
      <c r="I208" s="20" t="s">
        <v>62</v>
      </c>
      <c r="J208" s="20" t="s">
        <v>123</v>
      </c>
      <c r="K208" s="19">
        <v>46266</v>
      </c>
      <c r="L208" s="20">
        <v>45</v>
      </c>
      <c r="M208" s="21">
        <v>35</v>
      </c>
      <c r="N208" s="22">
        <f t="shared" si="15"/>
        <v>1575</v>
      </c>
      <c r="O208" s="24" t="str">
        <f t="shared" si="12"/>
        <v>N</v>
      </c>
      <c r="P208" s="21">
        <f t="shared" si="13"/>
        <v>1575</v>
      </c>
    </row>
    <row r="209" spans="1:16">
      <c r="A209" s="18">
        <v>306</v>
      </c>
      <c r="B209" s="19">
        <v>45588</v>
      </c>
      <c r="C209" s="20" t="str">
        <f t="shared" si="14"/>
        <v>Oct</v>
      </c>
      <c r="D209" s="20" t="s">
        <v>7</v>
      </c>
      <c r="E209" s="20" t="s">
        <v>43</v>
      </c>
      <c r="F209" s="20" t="s">
        <v>52</v>
      </c>
      <c r="G209" s="20" t="str">
        <f>VLOOKUP(F209,'CUSTOMER INFO'!B6:D13,2,FALSE)</f>
        <v>MedEase</v>
      </c>
      <c r="H209" s="20" t="str">
        <f>VLOOKUP(F209,'CUSTOMER INFO'!B6:D13,3,FALSE)</f>
        <v>Siddant Patil</v>
      </c>
      <c r="I209" s="20" t="s">
        <v>65</v>
      </c>
      <c r="J209" s="20" t="s">
        <v>124</v>
      </c>
      <c r="K209" s="19">
        <v>45870</v>
      </c>
      <c r="L209" s="20">
        <v>35</v>
      </c>
      <c r="M209" s="21">
        <v>42</v>
      </c>
      <c r="N209" s="22">
        <f t="shared" si="15"/>
        <v>1470</v>
      </c>
      <c r="O209" s="24" t="str">
        <f t="shared" si="12"/>
        <v>N</v>
      </c>
      <c r="P209" s="21">
        <f t="shared" si="13"/>
        <v>1470</v>
      </c>
    </row>
    <row r="210" spans="1:16">
      <c r="A210" s="18">
        <v>307</v>
      </c>
      <c r="B210" s="19">
        <v>45589</v>
      </c>
      <c r="C210" s="20" t="str">
        <f t="shared" si="14"/>
        <v>Oct</v>
      </c>
      <c r="D210" s="20" t="s">
        <v>3</v>
      </c>
      <c r="E210" s="20" t="s">
        <v>47</v>
      </c>
      <c r="F210" s="20" t="s">
        <v>55</v>
      </c>
      <c r="G210" s="20" t="str">
        <f>VLOOKUP(F210,'CUSTOMER INFO'!B7:D14,2,FALSE)</f>
        <v>CityMed Pharmacy</v>
      </c>
      <c r="H210" s="20" t="str">
        <f>VLOOKUP(F210,'CUSTOMER INFO'!B7:D14,3,FALSE)</f>
        <v>Vikram Shah</v>
      </c>
      <c r="I210" s="20" t="s">
        <v>67</v>
      </c>
      <c r="J210" s="20" t="s">
        <v>125</v>
      </c>
      <c r="K210" s="19">
        <v>46266</v>
      </c>
      <c r="L210" s="20">
        <v>58</v>
      </c>
      <c r="M210" s="21">
        <v>22</v>
      </c>
      <c r="N210" s="22">
        <f t="shared" si="15"/>
        <v>1276</v>
      </c>
      <c r="O210" s="24" t="str">
        <f t="shared" si="12"/>
        <v>N</v>
      </c>
      <c r="P210" s="21">
        <f t="shared" si="13"/>
        <v>1276</v>
      </c>
    </row>
    <row r="211" spans="1:16">
      <c r="A211" s="18">
        <v>308</v>
      </c>
      <c r="B211" s="19">
        <v>45590</v>
      </c>
      <c r="C211" s="20" t="str">
        <f t="shared" si="14"/>
        <v>Oct</v>
      </c>
      <c r="D211" s="20" t="s">
        <v>8</v>
      </c>
      <c r="E211" s="20" t="s">
        <v>51</v>
      </c>
      <c r="F211" s="20" t="s">
        <v>58</v>
      </c>
      <c r="G211" s="20" t="str">
        <f>VLOOKUP(F211,'CUSTOMER INFO'!B8:D15,2,FALSE)</f>
        <v>TrustCare Medicals</v>
      </c>
      <c r="H211" s="20" t="str">
        <f>VLOOKUP(F211,'CUSTOMER INFO'!B8:D15,3,FALSE)</f>
        <v>Pooja Sharma</v>
      </c>
      <c r="I211" s="20" t="s">
        <v>69</v>
      </c>
      <c r="J211" s="20" t="s">
        <v>126</v>
      </c>
      <c r="K211" s="19">
        <v>46357</v>
      </c>
      <c r="L211" s="20">
        <v>65</v>
      </c>
      <c r="M211" s="21">
        <v>48</v>
      </c>
      <c r="N211" s="22">
        <f t="shared" si="15"/>
        <v>3120</v>
      </c>
      <c r="O211" s="24" t="str">
        <f t="shared" si="12"/>
        <v>Y</v>
      </c>
      <c r="P211" s="21">
        <f t="shared" si="13"/>
        <v>2964</v>
      </c>
    </row>
    <row r="212" spans="1:16">
      <c r="A212" s="18">
        <v>309</v>
      </c>
      <c r="B212" s="19">
        <v>45591</v>
      </c>
      <c r="C212" s="20" t="str">
        <f t="shared" si="14"/>
        <v>Oct</v>
      </c>
      <c r="D212" s="20" t="s">
        <v>5</v>
      </c>
      <c r="E212" s="20" t="s">
        <v>39</v>
      </c>
      <c r="F212" s="20" t="s">
        <v>61</v>
      </c>
      <c r="G212" s="20" t="str">
        <f>VLOOKUP(F212,'CUSTOMER INFO'!B9:D16,2,FALSE)</f>
        <v>Lifeline Medicals</v>
      </c>
      <c r="H212" s="20" t="str">
        <f>VLOOKUP(F212,'CUSTOMER INFO'!B9:D16,3,FALSE)</f>
        <v>Harshal Singh</v>
      </c>
      <c r="I212" s="20" t="s">
        <v>71</v>
      </c>
      <c r="J212" s="20" t="s">
        <v>127</v>
      </c>
      <c r="K212" s="19">
        <v>46296</v>
      </c>
      <c r="L212" s="20">
        <v>28</v>
      </c>
      <c r="M212" s="21">
        <v>95</v>
      </c>
      <c r="N212" s="22">
        <f t="shared" si="15"/>
        <v>2660</v>
      </c>
      <c r="O212" s="24" t="str">
        <f t="shared" si="12"/>
        <v>N</v>
      </c>
      <c r="P212" s="21">
        <f t="shared" si="13"/>
        <v>2660</v>
      </c>
    </row>
    <row r="213" spans="1:16">
      <c r="A213" s="18">
        <v>310</v>
      </c>
      <c r="B213" s="19">
        <v>45592</v>
      </c>
      <c r="C213" s="20" t="str">
        <f t="shared" si="14"/>
        <v>Oct</v>
      </c>
      <c r="D213" s="20" t="s">
        <v>10</v>
      </c>
      <c r="E213" s="20" t="s">
        <v>43</v>
      </c>
      <c r="F213" s="20" t="s">
        <v>64</v>
      </c>
      <c r="G213" s="20" t="str">
        <f>VLOOKUP(F213,'CUSTOMER INFO'!B10:D17,2,FALSE)</f>
        <v>CarePlus Medical Store</v>
      </c>
      <c r="H213" s="20" t="str">
        <f>VLOOKUP(F213,'CUSTOMER INFO'!B10:D17,3,FALSE)</f>
        <v>Riya Mishra</v>
      </c>
      <c r="I213" s="20" t="s">
        <v>41</v>
      </c>
      <c r="J213" s="20" t="s">
        <v>128</v>
      </c>
      <c r="K213" s="19">
        <v>46083</v>
      </c>
      <c r="L213" s="20">
        <v>48</v>
      </c>
      <c r="M213" s="21">
        <v>18</v>
      </c>
      <c r="N213" s="22">
        <f t="shared" si="15"/>
        <v>864</v>
      </c>
      <c r="O213" s="24" t="str">
        <f t="shared" si="12"/>
        <v>N</v>
      </c>
      <c r="P213" s="21">
        <f t="shared" si="13"/>
        <v>864</v>
      </c>
    </row>
    <row r="214" spans="1:16">
      <c r="A214" s="18">
        <v>311</v>
      </c>
      <c r="B214" s="19">
        <v>45593</v>
      </c>
      <c r="C214" s="20" t="str">
        <f t="shared" si="14"/>
        <v>Oct</v>
      </c>
      <c r="D214" s="20" t="s">
        <v>4</v>
      </c>
      <c r="E214" s="20" t="s">
        <v>39</v>
      </c>
      <c r="F214" s="20" t="s">
        <v>40</v>
      </c>
      <c r="G214" s="20" t="str">
        <f>VLOOKUP(F214,'CUSTOMER INFO'!B3:D10,2,FALSE)</f>
        <v>Shree Medical &amp; General Store</v>
      </c>
      <c r="H214" s="20" t="str">
        <f>VLOOKUP(F214,'CUSTOMER INFO'!B3:D10,3,FALSE)</f>
        <v>Abhijeet Kulkarni</v>
      </c>
      <c r="I214" s="20" t="s">
        <v>45</v>
      </c>
      <c r="J214" s="20" t="s">
        <v>129</v>
      </c>
      <c r="K214" s="19">
        <v>46381</v>
      </c>
      <c r="L214" s="20">
        <v>38</v>
      </c>
      <c r="M214" s="21">
        <v>75</v>
      </c>
      <c r="N214" s="22">
        <f t="shared" si="15"/>
        <v>2850</v>
      </c>
      <c r="O214" s="24" t="str">
        <f t="shared" si="12"/>
        <v>N</v>
      </c>
      <c r="P214" s="21">
        <f t="shared" si="13"/>
        <v>2850</v>
      </c>
    </row>
    <row r="215" spans="1:16">
      <c r="A215" s="18">
        <v>312</v>
      </c>
      <c r="B215" s="19">
        <v>45594</v>
      </c>
      <c r="C215" s="20" t="str">
        <f t="shared" si="14"/>
        <v>Oct</v>
      </c>
      <c r="D215" s="20" t="s">
        <v>6</v>
      </c>
      <c r="E215" s="20" t="s">
        <v>43</v>
      </c>
      <c r="F215" s="20" t="s">
        <v>44</v>
      </c>
      <c r="G215" s="20" t="str">
        <f>VLOOKUP(F215,'CUSTOMER INFO'!B4:D11,2,FALSE)</f>
        <v>JeevanCare Medical Store</v>
      </c>
      <c r="H215" s="20" t="str">
        <f>VLOOKUP(F215,'CUSTOMER INFO'!B4:D11,3,FALSE)</f>
        <v>Neha Patel</v>
      </c>
      <c r="I215" s="20" t="s">
        <v>49</v>
      </c>
      <c r="J215" s="20" t="s">
        <v>130</v>
      </c>
      <c r="K215" s="19">
        <v>46115</v>
      </c>
      <c r="L215" s="20">
        <v>48</v>
      </c>
      <c r="M215" s="21">
        <v>55</v>
      </c>
      <c r="N215" s="22">
        <f t="shared" si="15"/>
        <v>2640</v>
      </c>
      <c r="O215" s="24" t="str">
        <f t="shared" si="12"/>
        <v>N</v>
      </c>
      <c r="P215" s="21">
        <f t="shared" si="13"/>
        <v>2640</v>
      </c>
    </row>
    <row r="216" spans="1:16">
      <c r="A216" s="18">
        <v>313</v>
      </c>
      <c r="B216" s="19">
        <v>45595</v>
      </c>
      <c r="C216" s="20" t="str">
        <f t="shared" si="14"/>
        <v>Oct</v>
      </c>
      <c r="D216" s="20" t="s">
        <v>9</v>
      </c>
      <c r="E216" s="20" t="s">
        <v>47</v>
      </c>
      <c r="F216" s="20" t="s">
        <v>48</v>
      </c>
      <c r="G216" s="20" t="str">
        <f>VLOOKUP(F216,'CUSTOMER INFO'!B5:D12,2,FALSE)</f>
        <v>Arogya Medical &amp; General</v>
      </c>
      <c r="H216" s="20" t="str">
        <f>VLOOKUP(F216,'CUSTOMER INFO'!B5:D12,3,FALSE)</f>
        <v>Hrishkesh Jadhv</v>
      </c>
      <c r="I216" s="20" t="s">
        <v>53</v>
      </c>
      <c r="J216" s="20" t="s">
        <v>131</v>
      </c>
      <c r="K216" s="19">
        <v>46178</v>
      </c>
      <c r="L216" s="20">
        <v>58</v>
      </c>
      <c r="M216" s="21">
        <v>32</v>
      </c>
      <c r="N216" s="22">
        <f t="shared" si="15"/>
        <v>1856</v>
      </c>
      <c r="O216" s="24" t="str">
        <f t="shared" si="12"/>
        <v>N</v>
      </c>
      <c r="P216" s="21">
        <f t="shared" si="13"/>
        <v>1856</v>
      </c>
    </row>
    <row r="217" spans="1:16">
      <c r="A217" s="18">
        <v>314</v>
      </c>
      <c r="B217" s="19">
        <v>45596</v>
      </c>
      <c r="C217" s="20" t="str">
        <f t="shared" si="14"/>
        <v>Oct</v>
      </c>
      <c r="D217" s="20" t="s">
        <v>7</v>
      </c>
      <c r="E217" s="20" t="s">
        <v>51</v>
      </c>
      <c r="F217" s="20" t="s">
        <v>52</v>
      </c>
      <c r="G217" s="20" t="str">
        <f>VLOOKUP(F217,'CUSTOMER INFO'!B6:D13,2,FALSE)</f>
        <v>MedEase</v>
      </c>
      <c r="H217" s="20" t="str">
        <f>VLOOKUP(F217,'CUSTOMER INFO'!B6:D13,3,FALSE)</f>
        <v>Siddant Patil</v>
      </c>
      <c r="I217" s="20" t="s">
        <v>56</v>
      </c>
      <c r="J217" s="20" t="s">
        <v>132</v>
      </c>
      <c r="K217" s="19">
        <v>46297</v>
      </c>
      <c r="L217" s="20">
        <v>35</v>
      </c>
      <c r="M217" s="21">
        <v>90</v>
      </c>
      <c r="N217" s="22">
        <f t="shared" si="15"/>
        <v>3150</v>
      </c>
      <c r="O217" s="24" t="str">
        <f t="shared" si="12"/>
        <v>N</v>
      </c>
      <c r="P217" s="21">
        <f t="shared" si="13"/>
        <v>3150</v>
      </c>
    </row>
    <row r="218" spans="1:16">
      <c r="A218" s="18">
        <v>315</v>
      </c>
      <c r="B218" s="19">
        <v>45597</v>
      </c>
      <c r="C218" s="20" t="str">
        <f t="shared" si="14"/>
        <v>Nov</v>
      </c>
      <c r="D218" s="20" t="s">
        <v>3</v>
      </c>
      <c r="E218" s="20" t="s">
        <v>39</v>
      </c>
      <c r="F218" s="20" t="s">
        <v>55</v>
      </c>
      <c r="G218" s="20" t="str">
        <f>VLOOKUP(F218,'CUSTOMER INFO'!B7:D14,2,FALSE)</f>
        <v>CityMed Pharmacy</v>
      </c>
      <c r="H218" s="20" t="str">
        <f>VLOOKUP(F218,'CUSTOMER INFO'!B7:D14,3,FALSE)</f>
        <v>Vikram Shah</v>
      </c>
      <c r="I218" s="20" t="s">
        <v>59</v>
      </c>
      <c r="J218" s="20" t="s">
        <v>133</v>
      </c>
      <c r="K218" s="19">
        <v>46357</v>
      </c>
      <c r="L218" s="20">
        <v>22</v>
      </c>
      <c r="M218" s="21">
        <v>20</v>
      </c>
      <c r="N218" s="22">
        <f t="shared" si="15"/>
        <v>440</v>
      </c>
      <c r="O218" s="24" t="str">
        <f t="shared" si="12"/>
        <v>N</v>
      </c>
      <c r="P218" s="21">
        <f t="shared" si="13"/>
        <v>440</v>
      </c>
    </row>
    <row r="219" spans="1:16">
      <c r="A219" s="18">
        <v>316</v>
      </c>
      <c r="B219" s="19">
        <v>45598</v>
      </c>
      <c r="C219" s="20" t="str">
        <f t="shared" si="14"/>
        <v>Nov</v>
      </c>
      <c r="D219" s="20" t="s">
        <v>8</v>
      </c>
      <c r="E219" s="20" t="s">
        <v>43</v>
      </c>
      <c r="F219" s="20" t="s">
        <v>58</v>
      </c>
      <c r="G219" s="20" t="str">
        <f>VLOOKUP(F219,'CUSTOMER INFO'!B8:D15,2,FALSE)</f>
        <v>TrustCare Medicals</v>
      </c>
      <c r="H219" s="20" t="str">
        <f>VLOOKUP(F219,'CUSTOMER INFO'!B8:D15,3,FALSE)</f>
        <v>Pooja Sharma</v>
      </c>
      <c r="I219" s="20" t="s">
        <v>62</v>
      </c>
      <c r="J219" s="20" t="s">
        <v>134</v>
      </c>
      <c r="K219" s="19">
        <v>46235</v>
      </c>
      <c r="L219" s="20">
        <v>26</v>
      </c>
      <c r="M219" s="21">
        <v>35</v>
      </c>
      <c r="N219" s="22">
        <f t="shared" si="15"/>
        <v>910</v>
      </c>
      <c r="O219" s="24" t="str">
        <f t="shared" si="12"/>
        <v>N</v>
      </c>
      <c r="P219" s="21">
        <f t="shared" si="13"/>
        <v>910</v>
      </c>
    </row>
    <row r="220" spans="1:16">
      <c r="A220" s="18">
        <v>317</v>
      </c>
      <c r="B220" s="19">
        <v>45599</v>
      </c>
      <c r="C220" s="20" t="str">
        <f t="shared" si="14"/>
        <v>Nov</v>
      </c>
      <c r="D220" s="20" t="s">
        <v>5</v>
      </c>
      <c r="E220" s="20" t="s">
        <v>47</v>
      </c>
      <c r="F220" s="20" t="s">
        <v>61</v>
      </c>
      <c r="G220" s="20" t="str">
        <f>VLOOKUP(F220,'CUSTOMER INFO'!B9:D16,2,FALSE)</f>
        <v>Lifeline Medicals</v>
      </c>
      <c r="H220" s="20" t="str">
        <f>VLOOKUP(F220,'CUSTOMER INFO'!B9:D16,3,FALSE)</f>
        <v>Harshal Singh</v>
      </c>
      <c r="I220" s="20" t="s">
        <v>41</v>
      </c>
      <c r="J220" s="20" t="s">
        <v>128</v>
      </c>
      <c r="K220" s="19">
        <v>45870</v>
      </c>
      <c r="L220" s="20">
        <v>68</v>
      </c>
      <c r="M220" s="21">
        <v>42</v>
      </c>
      <c r="N220" s="22">
        <f t="shared" si="15"/>
        <v>2856</v>
      </c>
      <c r="O220" s="24" t="str">
        <f t="shared" si="12"/>
        <v>Y</v>
      </c>
      <c r="P220" s="21">
        <f t="shared" si="13"/>
        <v>2713.2</v>
      </c>
    </row>
    <row r="221" spans="1:16">
      <c r="A221" s="18">
        <v>318</v>
      </c>
      <c r="B221" s="19">
        <v>45600</v>
      </c>
      <c r="C221" s="20" t="str">
        <f t="shared" si="14"/>
        <v>Nov</v>
      </c>
      <c r="D221" s="20" t="s">
        <v>10</v>
      </c>
      <c r="E221" s="20" t="s">
        <v>51</v>
      </c>
      <c r="F221" s="20" t="s">
        <v>64</v>
      </c>
      <c r="G221" s="20" t="str">
        <f>VLOOKUP(F221,'CUSTOMER INFO'!B10:D17,2,FALSE)</f>
        <v>CarePlus Medical Store</v>
      </c>
      <c r="H221" s="20" t="str">
        <f>VLOOKUP(F221,'CUSTOMER INFO'!B10:D17,3,FALSE)</f>
        <v>Riya Mishra</v>
      </c>
      <c r="I221" s="20" t="s">
        <v>45</v>
      </c>
      <c r="J221" s="20" t="s">
        <v>129</v>
      </c>
      <c r="K221" s="19">
        <v>46266</v>
      </c>
      <c r="L221" s="20">
        <v>45</v>
      </c>
      <c r="M221" s="21">
        <v>22</v>
      </c>
      <c r="N221" s="22">
        <f t="shared" si="15"/>
        <v>990</v>
      </c>
      <c r="O221" s="24" t="str">
        <f t="shared" si="12"/>
        <v>N</v>
      </c>
      <c r="P221" s="21">
        <f t="shared" si="13"/>
        <v>990</v>
      </c>
    </row>
    <row r="222" spans="1:16">
      <c r="A222" s="18">
        <v>319</v>
      </c>
      <c r="B222" s="19">
        <v>45601</v>
      </c>
      <c r="C222" s="20" t="str">
        <f t="shared" si="14"/>
        <v>Nov</v>
      </c>
      <c r="D222" s="20" t="s">
        <v>4</v>
      </c>
      <c r="E222" s="20" t="s">
        <v>39</v>
      </c>
      <c r="F222" s="20" t="s">
        <v>40</v>
      </c>
      <c r="G222" s="20" t="str">
        <f>VLOOKUP(F222,'CUSTOMER INFO'!B3:D10,2,FALSE)</f>
        <v>Shree Medical &amp; General Store</v>
      </c>
      <c r="H222" s="20" t="str">
        <f>VLOOKUP(F222,'CUSTOMER INFO'!B3:D10,3,FALSE)</f>
        <v>Abhijeet Kulkarni</v>
      </c>
      <c r="I222" s="20" t="s">
        <v>49</v>
      </c>
      <c r="J222" s="20" t="s">
        <v>130</v>
      </c>
      <c r="K222" s="19">
        <v>45870</v>
      </c>
      <c r="L222" s="20">
        <v>59</v>
      </c>
      <c r="M222" s="21">
        <v>48</v>
      </c>
      <c r="N222" s="22">
        <f t="shared" si="15"/>
        <v>2832</v>
      </c>
      <c r="O222" s="24" t="str">
        <f t="shared" si="12"/>
        <v>N</v>
      </c>
      <c r="P222" s="21">
        <f t="shared" si="13"/>
        <v>2832</v>
      </c>
    </row>
    <row r="223" spans="1:16">
      <c r="A223" s="18">
        <v>320</v>
      </c>
      <c r="B223" s="19">
        <v>45602</v>
      </c>
      <c r="C223" s="20" t="str">
        <f t="shared" si="14"/>
        <v>Nov</v>
      </c>
      <c r="D223" s="20" t="s">
        <v>6</v>
      </c>
      <c r="E223" s="20" t="s">
        <v>43</v>
      </c>
      <c r="F223" s="20" t="s">
        <v>44</v>
      </c>
      <c r="G223" s="20" t="str">
        <f>VLOOKUP(F223,'CUSTOMER INFO'!B4:D11,2,FALSE)</f>
        <v>JeevanCare Medical Store</v>
      </c>
      <c r="H223" s="20" t="str">
        <f>VLOOKUP(F223,'CUSTOMER INFO'!B4:D11,3,FALSE)</f>
        <v>Neha Patel</v>
      </c>
      <c r="I223" s="20" t="s">
        <v>53</v>
      </c>
      <c r="J223" s="20" t="s">
        <v>131</v>
      </c>
      <c r="K223" s="19">
        <v>46266</v>
      </c>
      <c r="L223" s="20">
        <v>45</v>
      </c>
      <c r="M223" s="21">
        <v>95</v>
      </c>
      <c r="N223" s="22">
        <f t="shared" si="15"/>
        <v>4275</v>
      </c>
      <c r="O223" s="24" t="str">
        <f t="shared" si="12"/>
        <v>N</v>
      </c>
      <c r="P223" s="21">
        <f t="shared" si="13"/>
        <v>4275</v>
      </c>
    </row>
    <row r="224" spans="1:16">
      <c r="A224" s="18">
        <v>321</v>
      </c>
      <c r="B224" s="19">
        <v>45603</v>
      </c>
      <c r="C224" s="20" t="str">
        <f t="shared" si="14"/>
        <v>Nov</v>
      </c>
      <c r="D224" s="20" t="s">
        <v>9</v>
      </c>
      <c r="E224" s="20" t="s">
        <v>47</v>
      </c>
      <c r="F224" s="20" t="s">
        <v>48</v>
      </c>
      <c r="G224" s="20" t="str">
        <f>VLOOKUP(F224,'CUSTOMER INFO'!B5:D12,2,FALSE)</f>
        <v>Arogya Medical &amp; General</v>
      </c>
      <c r="H224" s="20" t="str">
        <f>VLOOKUP(F224,'CUSTOMER INFO'!B5:D12,3,FALSE)</f>
        <v>Hrishkesh Jadhv</v>
      </c>
      <c r="I224" s="20" t="s">
        <v>56</v>
      </c>
      <c r="J224" s="20" t="s">
        <v>132</v>
      </c>
      <c r="K224" s="19">
        <v>46357</v>
      </c>
      <c r="L224" s="20">
        <v>35</v>
      </c>
      <c r="M224" s="21">
        <v>18</v>
      </c>
      <c r="N224" s="22">
        <f t="shared" si="15"/>
        <v>630</v>
      </c>
      <c r="O224" s="24" t="str">
        <f t="shared" si="12"/>
        <v>N</v>
      </c>
      <c r="P224" s="21">
        <f t="shared" si="13"/>
        <v>630</v>
      </c>
    </row>
    <row r="225" spans="1:16">
      <c r="A225" s="18">
        <v>322</v>
      </c>
      <c r="B225" s="19">
        <v>45604</v>
      </c>
      <c r="C225" s="20" t="str">
        <f t="shared" si="14"/>
        <v>Nov</v>
      </c>
      <c r="D225" s="20" t="s">
        <v>9</v>
      </c>
      <c r="E225" s="20" t="s">
        <v>51</v>
      </c>
      <c r="F225" s="20" t="s">
        <v>52</v>
      </c>
      <c r="G225" s="20" t="str">
        <f>VLOOKUP(F225,'CUSTOMER INFO'!B6:D13,2,FALSE)</f>
        <v>MedEase</v>
      </c>
      <c r="H225" s="20" t="str">
        <f>VLOOKUP(F225,'CUSTOMER INFO'!B6:D13,3,FALSE)</f>
        <v>Siddant Patil</v>
      </c>
      <c r="I225" s="20" t="s">
        <v>59</v>
      </c>
      <c r="J225" s="20" t="s">
        <v>133</v>
      </c>
      <c r="K225" s="19">
        <v>46296</v>
      </c>
      <c r="L225" s="20">
        <v>58</v>
      </c>
      <c r="M225" s="21">
        <v>75</v>
      </c>
      <c r="N225" s="22">
        <f t="shared" si="15"/>
        <v>4350</v>
      </c>
      <c r="O225" s="24" t="str">
        <f t="shared" si="12"/>
        <v>N</v>
      </c>
      <c r="P225" s="21">
        <f t="shared" si="13"/>
        <v>4350</v>
      </c>
    </row>
    <row r="226" spans="1:16">
      <c r="A226" s="18">
        <v>323</v>
      </c>
      <c r="B226" s="19">
        <v>45605</v>
      </c>
      <c r="C226" s="20" t="str">
        <f t="shared" si="14"/>
        <v>Nov</v>
      </c>
      <c r="D226" s="20" t="s">
        <v>7</v>
      </c>
      <c r="E226" s="20" t="s">
        <v>39</v>
      </c>
      <c r="F226" s="20" t="s">
        <v>55</v>
      </c>
      <c r="G226" s="20" t="str">
        <f>VLOOKUP(F226,'CUSTOMER INFO'!B7:D14,2,FALSE)</f>
        <v>CityMed Pharmacy</v>
      </c>
      <c r="H226" s="20" t="str">
        <f>VLOOKUP(F226,'CUSTOMER INFO'!B7:D14,3,FALSE)</f>
        <v>Vikram Shah</v>
      </c>
      <c r="I226" s="20" t="s">
        <v>62</v>
      </c>
      <c r="J226" s="20" t="s">
        <v>134</v>
      </c>
      <c r="K226" s="19">
        <v>46083</v>
      </c>
      <c r="L226" s="20">
        <v>65</v>
      </c>
      <c r="M226" s="21">
        <v>55</v>
      </c>
      <c r="N226" s="22">
        <f t="shared" si="15"/>
        <v>3575</v>
      </c>
      <c r="O226" s="24" t="str">
        <f t="shared" si="12"/>
        <v>Y</v>
      </c>
      <c r="P226" s="21">
        <f t="shared" si="13"/>
        <v>3396.25</v>
      </c>
    </row>
    <row r="227" spans="1:16">
      <c r="A227" s="18">
        <v>324</v>
      </c>
      <c r="B227" s="19">
        <v>45606</v>
      </c>
      <c r="C227" s="20" t="str">
        <f t="shared" si="14"/>
        <v>Nov</v>
      </c>
      <c r="D227" s="20" t="s">
        <v>3</v>
      </c>
      <c r="E227" s="20" t="s">
        <v>43</v>
      </c>
      <c r="F227" s="20" t="s">
        <v>58</v>
      </c>
      <c r="G227" s="20" t="str">
        <f>VLOOKUP(F227,'CUSTOMER INFO'!B8:D15,2,FALSE)</f>
        <v>TrustCare Medicals</v>
      </c>
      <c r="H227" s="20" t="str">
        <f>VLOOKUP(F227,'CUSTOMER INFO'!B8:D15,3,FALSE)</f>
        <v>Pooja Sharma</v>
      </c>
      <c r="I227" s="20" t="s">
        <v>65</v>
      </c>
      <c r="J227" s="20" t="s">
        <v>135</v>
      </c>
      <c r="K227" s="19">
        <v>46381</v>
      </c>
      <c r="L227" s="20">
        <v>28</v>
      </c>
      <c r="M227" s="21">
        <v>32</v>
      </c>
      <c r="N227" s="22">
        <f t="shared" si="15"/>
        <v>896</v>
      </c>
      <c r="O227" s="24" t="str">
        <f t="shared" si="12"/>
        <v>N</v>
      </c>
      <c r="P227" s="21">
        <f t="shared" si="13"/>
        <v>896</v>
      </c>
    </row>
    <row r="228" spans="1:16">
      <c r="A228" s="18">
        <v>325</v>
      </c>
      <c r="B228" s="19">
        <v>45607</v>
      </c>
      <c r="C228" s="20" t="str">
        <f t="shared" si="14"/>
        <v>Nov</v>
      </c>
      <c r="D228" s="20" t="s">
        <v>8</v>
      </c>
      <c r="E228" s="20" t="s">
        <v>39</v>
      </c>
      <c r="F228" s="20" t="s">
        <v>61</v>
      </c>
      <c r="G228" s="20" t="str">
        <f>VLOOKUP(F228,'CUSTOMER INFO'!B9:D16,2,FALSE)</f>
        <v>Lifeline Medicals</v>
      </c>
      <c r="H228" s="20" t="str">
        <f>VLOOKUP(F228,'CUSTOMER INFO'!B9:D16,3,FALSE)</f>
        <v>Harshal Singh</v>
      </c>
      <c r="I228" s="20" t="s">
        <v>67</v>
      </c>
      <c r="J228" s="20" t="s">
        <v>136</v>
      </c>
      <c r="K228" s="19">
        <v>46115</v>
      </c>
      <c r="L228" s="20">
        <v>48</v>
      </c>
      <c r="M228" s="21">
        <v>90</v>
      </c>
      <c r="N228" s="22">
        <f t="shared" si="15"/>
        <v>4320</v>
      </c>
      <c r="O228" s="24" t="str">
        <f t="shared" si="12"/>
        <v>N</v>
      </c>
      <c r="P228" s="21">
        <f t="shared" si="13"/>
        <v>4320</v>
      </c>
    </row>
    <row r="229" spans="1:16">
      <c r="A229" s="18">
        <v>326</v>
      </c>
      <c r="B229" s="19">
        <v>45608</v>
      </c>
      <c r="C229" s="20" t="str">
        <f t="shared" si="14"/>
        <v>Nov</v>
      </c>
      <c r="D229" s="20" t="s">
        <v>5</v>
      </c>
      <c r="E229" s="20" t="s">
        <v>43</v>
      </c>
      <c r="F229" s="20" t="s">
        <v>64</v>
      </c>
      <c r="G229" s="20" t="str">
        <f>VLOOKUP(F229,'CUSTOMER INFO'!B10:D17,2,FALSE)</f>
        <v>CarePlus Medical Store</v>
      </c>
      <c r="H229" s="20" t="str">
        <f>VLOOKUP(F229,'CUSTOMER INFO'!B10:D17,3,FALSE)</f>
        <v>Riya Mishra</v>
      </c>
      <c r="I229" s="20" t="s">
        <v>41</v>
      </c>
      <c r="J229" s="20" t="s">
        <v>117</v>
      </c>
      <c r="K229" s="19">
        <v>46178</v>
      </c>
      <c r="L229" s="20">
        <v>38</v>
      </c>
      <c r="M229" s="21">
        <v>20</v>
      </c>
      <c r="N229" s="22">
        <f t="shared" si="15"/>
        <v>760</v>
      </c>
      <c r="O229" s="24" t="str">
        <f t="shared" si="12"/>
        <v>N</v>
      </c>
      <c r="P229" s="21">
        <f t="shared" si="13"/>
        <v>760</v>
      </c>
    </row>
    <row r="230" spans="1:16">
      <c r="A230" s="18">
        <v>327</v>
      </c>
      <c r="B230" s="19">
        <v>45609</v>
      </c>
      <c r="C230" s="20" t="str">
        <f t="shared" si="14"/>
        <v>Nov</v>
      </c>
      <c r="D230" s="20" t="s">
        <v>10</v>
      </c>
      <c r="E230" s="20" t="s">
        <v>47</v>
      </c>
      <c r="F230" s="20" t="s">
        <v>40</v>
      </c>
      <c r="G230" s="20" t="str">
        <f>VLOOKUP(F230,'CUSTOMER INFO'!B3:D10,2,FALSE)</f>
        <v>Shree Medical &amp; General Store</v>
      </c>
      <c r="H230" s="20" t="str">
        <f>VLOOKUP(F230,'CUSTOMER INFO'!B3:D10,3,FALSE)</f>
        <v>Abhijeet Kulkarni</v>
      </c>
      <c r="I230" s="20" t="s">
        <v>45</v>
      </c>
      <c r="J230" s="20" t="s">
        <v>118</v>
      </c>
      <c r="K230" s="19">
        <v>46297</v>
      </c>
      <c r="L230" s="20">
        <v>48</v>
      </c>
      <c r="M230" s="21">
        <v>35</v>
      </c>
      <c r="N230" s="22">
        <f t="shared" si="15"/>
        <v>1680</v>
      </c>
      <c r="O230" s="24" t="str">
        <f t="shared" si="12"/>
        <v>N</v>
      </c>
      <c r="P230" s="21">
        <f t="shared" si="13"/>
        <v>1680</v>
      </c>
    </row>
    <row r="231" spans="1:16">
      <c r="A231" s="18">
        <v>328</v>
      </c>
      <c r="B231" s="19">
        <v>45610</v>
      </c>
      <c r="C231" s="20" t="str">
        <f t="shared" si="14"/>
        <v>Nov</v>
      </c>
      <c r="D231" s="20" t="s">
        <v>4</v>
      </c>
      <c r="E231" s="20" t="s">
        <v>51</v>
      </c>
      <c r="F231" s="20" t="s">
        <v>44</v>
      </c>
      <c r="G231" s="20" t="str">
        <f>VLOOKUP(F231,'CUSTOMER INFO'!B4:D11,2,FALSE)</f>
        <v>JeevanCare Medical Store</v>
      </c>
      <c r="H231" s="20" t="str">
        <f>VLOOKUP(F231,'CUSTOMER INFO'!B4:D11,3,FALSE)</f>
        <v>Neha Patel</v>
      </c>
      <c r="I231" s="20" t="s">
        <v>49</v>
      </c>
      <c r="J231" s="20" t="s">
        <v>119</v>
      </c>
      <c r="K231" s="19">
        <v>46357</v>
      </c>
      <c r="L231" s="20">
        <v>58</v>
      </c>
      <c r="M231" s="21">
        <v>42</v>
      </c>
      <c r="N231" s="22">
        <f t="shared" si="15"/>
        <v>2436</v>
      </c>
      <c r="O231" s="24" t="str">
        <f t="shared" si="12"/>
        <v>N</v>
      </c>
      <c r="P231" s="21">
        <f t="shared" si="13"/>
        <v>2436</v>
      </c>
    </row>
    <row r="232" spans="1:16">
      <c r="A232" s="18">
        <v>329</v>
      </c>
      <c r="B232" s="19">
        <v>45611</v>
      </c>
      <c r="C232" s="20" t="str">
        <f t="shared" si="14"/>
        <v>Nov</v>
      </c>
      <c r="D232" s="20" t="s">
        <v>6</v>
      </c>
      <c r="E232" s="20" t="s">
        <v>39</v>
      </c>
      <c r="F232" s="20" t="s">
        <v>48</v>
      </c>
      <c r="G232" s="20" t="str">
        <f>VLOOKUP(F232,'CUSTOMER INFO'!B5:D12,2,FALSE)</f>
        <v>Arogya Medical &amp; General</v>
      </c>
      <c r="H232" s="20" t="str">
        <f>VLOOKUP(F232,'CUSTOMER INFO'!B5:D12,3,FALSE)</f>
        <v>Hrishkesh Jadhv</v>
      </c>
      <c r="I232" s="20" t="s">
        <v>53</v>
      </c>
      <c r="J232" s="20" t="s">
        <v>120</v>
      </c>
      <c r="K232" s="19">
        <v>46235</v>
      </c>
      <c r="L232" s="20">
        <v>35</v>
      </c>
      <c r="M232" s="21">
        <v>22</v>
      </c>
      <c r="N232" s="22">
        <f t="shared" si="15"/>
        <v>770</v>
      </c>
      <c r="O232" s="24" t="str">
        <f t="shared" si="12"/>
        <v>N</v>
      </c>
      <c r="P232" s="21">
        <f t="shared" si="13"/>
        <v>770</v>
      </c>
    </row>
    <row r="233" spans="1:16">
      <c r="A233" s="18">
        <v>330</v>
      </c>
      <c r="B233" s="19">
        <v>45612</v>
      </c>
      <c r="C233" s="20" t="str">
        <f t="shared" si="14"/>
        <v>Nov</v>
      </c>
      <c r="D233" s="20" t="s">
        <v>9</v>
      </c>
      <c r="E233" s="20" t="s">
        <v>43</v>
      </c>
      <c r="F233" s="20" t="s">
        <v>52</v>
      </c>
      <c r="G233" s="20" t="str">
        <f>VLOOKUP(F233,'CUSTOMER INFO'!B6:D13,2,FALSE)</f>
        <v>MedEase</v>
      </c>
      <c r="H233" s="20" t="str">
        <f>VLOOKUP(F233,'CUSTOMER INFO'!B6:D13,3,FALSE)</f>
        <v>Siddant Patil</v>
      </c>
      <c r="I233" s="20" t="s">
        <v>56</v>
      </c>
      <c r="J233" s="20" t="s">
        <v>121</v>
      </c>
      <c r="K233" s="19">
        <v>45870</v>
      </c>
      <c r="L233" s="20">
        <v>22</v>
      </c>
      <c r="M233" s="21">
        <v>48</v>
      </c>
      <c r="N233" s="22">
        <f t="shared" si="15"/>
        <v>1056</v>
      </c>
      <c r="O233" s="24" t="str">
        <f t="shared" si="12"/>
        <v>N</v>
      </c>
      <c r="P233" s="21">
        <f t="shared" si="13"/>
        <v>1056</v>
      </c>
    </row>
    <row r="234" spans="1:16">
      <c r="A234" s="18">
        <v>331</v>
      </c>
      <c r="B234" s="19">
        <v>45613</v>
      </c>
      <c r="C234" s="20" t="str">
        <f t="shared" si="14"/>
        <v>Nov</v>
      </c>
      <c r="D234" s="20" t="s">
        <v>7</v>
      </c>
      <c r="E234" s="20" t="s">
        <v>47</v>
      </c>
      <c r="F234" s="20" t="s">
        <v>55</v>
      </c>
      <c r="G234" s="20" t="str">
        <f>VLOOKUP(F234,'CUSTOMER INFO'!B7:D14,2,FALSE)</f>
        <v>CityMed Pharmacy</v>
      </c>
      <c r="H234" s="20" t="str">
        <f>VLOOKUP(F234,'CUSTOMER INFO'!B7:D14,3,FALSE)</f>
        <v>Vikram Shah</v>
      </c>
      <c r="I234" s="20" t="s">
        <v>59</v>
      </c>
      <c r="J234" s="20" t="s">
        <v>122</v>
      </c>
      <c r="K234" s="19">
        <v>46266</v>
      </c>
      <c r="L234" s="20">
        <v>26</v>
      </c>
      <c r="M234" s="21">
        <v>95</v>
      </c>
      <c r="N234" s="22">
        <f t="shared" si="15"/>
        <v>2470</v>
      </c>
      <c r="O234" s="24" t="str">
        <f t="shared" si="12"/>
        <v>N</v>
      </c>
      <c r="P234" s="21">
        <f t="shared" si="13"/>
        <v>2470</v>
      </c>
    </row>
    <row r="235" spans="1:16">
      <c r="A235" s="18">
        <v>332</v>
      </c>
      <c r="B235" s="19">
        <v>45614</v>
      </c>
      <c r="C235" s="20" t="str">
        <f t="shared" si="14"/>
        <v>Nov</v>
      </c>
      <c r="D235" s="20" t="s">
        <v>3</v>
      </c>
      <c r="E235" s="20" t="s">
        <v>51</v>
      </c>
      <c r="F235" s="20" t="s">
        <v>58</v>
      </c>
      <c r="G235" s="20" t="str">
        <f>VLOOKUP(F235,'CUSTOMER INFO'!B8:D15,2,FALSE)</f>
        <v>TrustCare Medicals</v>
      </c>
      <c r="H235" s="20" t="str">
        <f>VLOOKUP(F235,'CUSTOMER INFO'!B8:D15,3,FALSE)</f>
        <v>Pooja Sharma</v>
      </c>
      <c r="I235" s="20" t="s">
        <v>62</v>
      </c>
      <c r="J235" s="20" t="s">
        <v>123</v>
      </c>
      <c r="K235" s="19">
        <v>45870</v>
      </c>
      <c r="L235" s="20">
        <v>68</v>
      </c>
      <c r="M235" s="21">
        <v>18</v>
      </c>
      <c r="N235" s="22">
        <f t="shared" si="15"/>
        <v>1224</v>
      </c>
      <c r="O235" s="24" t="str">
        <f t="shared" si="12"/>
        <v>Y</v>
      </c>
      <c r="P235" s="21">
        <f t="shared" si="13"/>
        <v>1162.8</v>
      </c>
    </row>
    <row r="236" spans="1:16">
      <c r="A236" s="18">
        <v>333</v>
      </c>
      <c r="B236" s="19">
        <v>45615</v>
      </c>
      <c r="C236" s="20" t="str">
        <f t="shared" si="14"/>
        <v>Nov</v>
      </c>
      <c r="D236" s="20" t="s">
        <v>8</v>
      </c>
      <c r="E236" s="20" t="s">
        <v>39</v>
      </c>
      <c r="F236" s="20" t="s">
        <v>61</v>
      </c>
      <c r="G236" s="20" t="str">
        <f>VLOOKUP(F236,'CUSTOMER INFO'!B9:D16,2,FALSE)</f>
        <v>Lifeline Medicals</v>
      </c>
      <c r="H236" s="20" t="str">
        <f>VLOOKUP(F236,'CUSTOMER INFO'!B9:D16,3,FALSE)</f>
        <v>Harshal Singh</v>
      </c>
      <c r="I236" s="20" t="s">
        <v>65</v>
      </c>
      <c r="J236" s="20" t="s">
        <v>124</v>
      </c>
      <c r="K236" s="19">
        <v>46266</v>
      </c>
      <c r="L236" s="20">
        <v>45</v>
      </c>
      <c r="M236" s="21">
        <v>75</v>
      </c>
      <c r="N236" s="22">
        <f t="shared" si="15"/>
        <v>3375</v>
      </c>
      <c r="O236" s="24" t="str">
        <f t="shared" si="12"/>
        <v>N</v>
      </c>
      <c r="P236" s="21">
        <f t="shared" si="13"/>
        <v>3375</v>
      </c>
    </row>
    <row r="237" spans="1:16">
      <c r="A237" s="18">
        <v>334</v>
      </c>
      <c r="B237" s="19">
        <v>45616</v>
      </c>
      <c r="C237" s="20" t="str">
        <f t="shared" si="14"/>
        <v>Nov</v>
      </c>
      <c r="D237" s="20" t="s">
        <v>5</v>
      </c>
      <c r="E237" s="20" t="s">
        <v>43</v>
      </c>
      <c r="F237" s="20" t="s">
        <v>64</v>
      </c>
      <c r="G237" s="20" t="str">
        <f>VLOOKUP(F237,'CUSTOMER INFO'!B10:D17,2,FALSE)</f>
        <v>CarePlus Medical Store</v>
      </c>
      <c r="H237" s="20" t="str">
        <f>VLOOKUP(F237,'CUSTOMER INFO'!B10:D17,3,FALSE)</f>
        <v>Riya Mishra</v>
      </c>
      <c r="I237" s="20" t="s">
        <v>67</v>
      </c>
      <c r="J237" s="20" t="s">
        <v>125</v>
      </c>
      <c r="K237" s="19">
        <v>46357</v>
      </c>
      <c r="L237" s="20">
        <v>59</v>
      </c>
      <c r="M237" s="21">
        <v>55</v>
      </c>
      <c r="N237" s="22">
        <f t="shared" si="15"/>
        <v>3245</v>
      </c>
      <c r="O237" s="24" t="str">
        <f t="shared" si="12"/>
        <v>N</v>
      </c>
      <c r="P237" s="21">
        <f t="shared" si="13"/>
        <v>3245</v>
      </c>
    </row>
    <row r="238" spans="1:16">
      <c r="A238" s="18">
        <v>335</v>
      </c>
      <c r="B238" s="19">
        <v>45617</v>
      </c>
      <c r="C238" s="20" t="str">
        <f t="shared" si="14"/>
        <v>Nov</v>
      </c>
      <c r="D238" s="20" t="s">
        <v>10</v>
      </c>
      <c r="E238" s="20" t="s">
        <v>47</v>
      </c>
      <c r="F238" s="20" t="s">
        <v>40</v>
      </c>
      <c r="G238" s="20" t="str">
        <f>VLOOKUP(F238,'CUSTOMER INFO'!B3:D10,2,FALSE)</f>
        <v>Shree Medical &amp; General Store</v>
      </c>
      <c r="H238" s="20" t="str">
        <f>VLOOKUP(F238,'CUSTOMER INFO'!B3:D10,3,FALSE)</f>
        <v>Abhijeet Kulkarni</v>
      </c>
      <c r="I238" s="20" t="s">
        <v>69</v>
      </c>
      <c r="J238" s="20" t="s">
        <v>126</v>
      </c>
      <c r="K238" s="19">
        <v>46296</v>
      </c>
      <c r="L238" s="20">
        <v>45</v>
      </c>
      <c r="M238" s="21">
        <v>32</v>
      </c>
      <c r="N238" s="22">
        <f t="shared" si="15"/>
        <v>1440</v>
      </c>
      <c r="O238" s="24" t="str">
        <f t="shared" si="12"/>
        <v>N</v>
      </c>
      <c r="P238" s="21">
        <f t="shared" si="13"/>
        <v>1440</v>
      </c>
    </row>
    <row r="239" spans="1:16">
      <c r="A239" s="18">
        <v>336</v>
      </c>
      <c r="B239" s="19">
        <v>45618</v>
      </c>
      <c r="C239" s="20" t="str">
        <f t="shared" si="14"/>
        <v>Nov</v>
      </c>
      <c r="D239" s="20" t="s">
        <v>4</v>
      </c>
      <c r="E239" s="20" t="s">
        <v>51</v>
      </c>
      <c r="F239" s="20" t="s">
        <v>44</v>
      </c>
      <c r="G239" s="20" t="str">
        <f>VLOOKUP(F239,'CUSTOMER INFO'!B4:D11,2,FALSE)</f>
        <v>JeevanCare Medical Store</v>
      </c>
      <c r="H239" s="20" t="str">
        <f>VLOOKUP(F239,'CUSTOMER INFO'!B4:D11,3,FALSE)</f>
        <v>Neha Patel</v>
      </c>
      <c r="I239" s="20" t="s">
        <v>71</v>
      </c>
      <c r="J239" s="20" t="s">
        <v>127</v>
      </c>
      <c r="K239" s="19">
        <v>46083</v>
      </c>
      <c r="L239" s="20">
        <v>35</v>
      </c>
      <c r="M239" s="21">
        <v>90</v>
      </c>
      <c r="N239" s="22">
        <f t="shared" si="15"/>
        <v>3150</v>
      </c>
      <c r="O239" s="24" t="str">
        <f t="shared" si="12"/>
        <v>N</v>
      </c>
      <c r="P239" s="21">
        <f t="shared" si="13"/>
        <v>3150</v>
      </c>
    </row>
    <row r="240" spans="1:16">
      <c r="A240" s="18">
        <v>337</v>
      </c>
      <c r="B240" s="19">
        <v>45619</v>
      </c>
      <c r="C240" s="20" t="str">
        <f t="shared" si="14"/>
        <v>Nov</v>
      </c>
      <c r="D240" s="20" t="s">
        <v>6</v>
      </c>
      <c r="E240" s="20" t="s">
        <v>39</v>
      </c>
      <c r="F240" s="20" t="s">
        <v>48</v>
      </c>
      <c r="G240" s="20" t="str">
        <f>VLOOKUP(F240,'CUSTOMER INFO'!B5:D12,2,FALSE)</f>
        <v>Arogya Medical &amp; General</v>
      </c>
      <c r="H240" s="20" t="str">
        <f>VLOOKUP(F240,'CUSTOMER INFO'!B5:D12,3,FALSE)</f>
        <v>Hrishkesh Jadhv</v>
      </c>
      <c r="I240" s="20" t="s">
        <v>41</v>
      </c>
      <c r="J240" s="20" t="s">
        <v>128</v>
      </c>
      <c r="K240" s="19">
        <v>46381</v>
      </c>
      <c r="L240" s="20">
        <v>58</v>
      </c>
      <c r="M240" s="21">
        <v>20</v>
      </c>
      <c r="N240" s="22">
        <f t="shared" si="15"/>
        <v>1160</v>
      </c>
      <c r="O240" s="24" t="str">
        <f t="shared" si="12"/>
        <v>N</v>
      </c>
      <c r="P240" s="21">
        <f t="shared" si="13"/>
        <v>1160</v>
      </c>
    </row>
    <row r="241" spans="1:16">
      <c r="A241" s="18">
        <v>338</v>
      </c>
      <c r="B241" s="19">
        <v>45620</v>
      </c>
      <c r="C241" s="20" t="str">
        <f t="shared" si="14"/>
        <v>Nov</v>
      </c>
      <c r="D241" s="20" t="s">
        <v>9</v>
      </c>
      <c r="E241" s="20" t="s">
        <v>43</v>
      </c>
      <c r="F241" s="20" t="s">
        <v>52</v>
      </c>
      <c r="G241" s="20" t="str">
        <f>VLOOKUP(F241,'CUSTOMER INFO'!B6:D13,2,FALSE)</f>
        <v>MedEase</v>
      </c>
      <c r="H241" s="20" t="str">
        <f>VLOOKUP(F241,'CUSTOMER INFO'!B6:D13,3,FALSE)</f>
        <v>Siddant Patil</v>
      </c>
      <c r="I241" s="20" t="s">
        <v>45</v>
      </c>
      <c r="J241" s="20" t="s">
        <v>129</v>
      </c>
      <c r="K241" s="19">
        <v>46115</v>
      </c>
      <c r="L241" s="20">
        <v>65</v>
      </c>
      <c r="M241" s="21">
        <v>35</v>
      </c>
      <c r="N241" s="22">
        <f t="shared" si="15"/>
        <v>2275</v>
      </c>
      <c r="O241" s="24" t="str">
        <f t="shared" si="12"/>
        <v>Y</v>
      </c>
      <c r="P241" s="21">
        <f t="shared" si="13"/>
        <v>2161.25</v>
      </c>
    </row>
    <row r="242" spans="1:16">
      <c r="A242" s="18">
        <v>339</v>
      </c>
      <c r="B242" s="19">
        <v>45621</v>
      </c>
      <c r="C242" s="20" t="str">
        <f t="shared" si="14"/>
        <v>Nov</v>
      </c>
      <c r="D242" s="20" t="s">
        <v>9</v>
      </c>
      <c r="E242" s="20" t="s">
        <v>39</v>
      </c>
      <c r="F242" s="20" t="s">
        <v>55</v>
      </c>
      <c r="G242" s="20" t="str">
        <f>VLOOKUP(F242,'CUSTOMER INFO'!B7:D14,2,FALSE)</f>
        <v>CityMed Pharmacy</v>
      </c>
      <c r="H242" s="20" t="str">
        <f>VLOOKUP(F242,'CUSTOMER INFO'!B7:D14,3,FALSE)</f>
        <v>Vikram Shah</v>
      </c>
      <c r="I242" s="20" t="s">
        <v>49</v>
      </c>
      <c r="J242" s="20" t="s">
        <v>130</v>
      </c>
      <c r="K242" s="19">
        <v>46178</v>
      </c>
      <c r="L242" s="20">
        <v>28</v>
      </c>
      <c r="M242" s="21">
        <v>42</v>
      </c>
      <c r="N242" s="22">
        <f t="shared" si="15"/>
        <v>1176</v>
      </c>
      <c r="O242" s="24" t="str">
        <f t="shared" si="12"/>
        <v>N</v>
      </c>
      <c r="P242" s="21">
        <f t="shared" si="13"/>
        <v>1176</v>
      </c>
    </row>
    <row r="243" spans="1:16">
      <c r="A243" s="18">
        <v>340</v>
      </c>
      <c r="B243" s="19">
        <v>45622</v>
      </c>
      <c r="C243" s="20" t="str">
        <f t="shared" si="14"/>
        <v>Nov</v>
      </c>
      <c r="D243" s="20" t="s">
        <v>7</v>
      </c>
      <c r="E243" s="20" t="s">
        <v>43</v>
      </c>
      <c r="F243" s="20" t="s">
        <v>58</v>
      </c>
      <c r="G243" s="20" t="str">
        <f>VLOOKUP(F243,'CUSTOMER INFO'!B8:D15,2,FALSE)</f>
        <v>TrustCare Medicals</v>
      </c>
      <c r="H243" s="20" t="str">
        <f>VLOOKUP(F243,'CUSTOMER INFO'!B8:D15,3,FALSE)</f>
        <v>Pooja Sharma</v>
      </c>
      <c r="I243" s="20" t="s">
        <v>53</v>
      </c>
      <c r="J243" s="20" t="s">
        <v>131</v>
      </c>
      <c r="K243" s="19">
        <v>46297</v>
      </c>
      <c r="L243" s="20">
        <v>48</v>
      </c>
      <c r="M243" s="21">
        <v>22</v>
      </c>
      <c r="N243" s="22">
        <f t="shared" si="15"/>
        <v>1056</v>
      </c>
      <c r="O243" s="24" t="str">
        <f t="shared" si="12"/>
        <v>N</v>
      </c>
      <c r="P243" s="21">
        <f t="shared" si="13"/>
        <v>1056</v>
      </c>
    </row>
    <row r="244" spans="1:16">
      <c r="A244" s="18">
        <v>341</v>
      </c>
      <c r="B244" s="19">
        <v>45623</v>
      </c>
      <c r="C244" s="20" t="str">
        <f t="shared" si="14"/>
        <v>Nov</v>
      </c>
      <c r="D244" s="20" t="s">
        <v>3</v>
      </c>
      <c r="E244" s="20" t="s">
        <v>47</v>
      </c>
      <c r="F244" s="20" t="s">
        <v>61</v>
      </c>
      <c r="G244" s="20" t="str">
        <f>VLOOKUP(F244,'CUSTOMER INFO'!B9:D16,2,FALSE)</f>
        <v>Lifeline Medicals</v>
      </c>
      <c r="H244" s="20" t="str">
        <f>VLOOKUP(F244,'CUSTOMER INFO'!B9:D16,3,FALSE)</f>
        <v>Harshal Singh</v>
      </c>
      <c r="I244" s="20" t="s">
        <v>56</v>
      </c>
      <c r="J244" s="20" t="s">
        <v>132</v>
      </c>
      <c r="K244" s="19">
        <v>46357</v>
      </c>
      <c r="L244" s="20">
        <v>38</v>
      </c>
      <c r="M244" s="21">
        <v>48</v>
      </c>
      <c r="N244" s="22">
        <f t="shared" si="15"/>
        <v>1824</v>
      </c>
      <c r="O244" s="24" t="str">
        <f t="shared" si="12"/>
        <v>N</v>
      </c>
      <c r="P244" s="21">
        <f t="shared" si="13"/>
        <v>1824</v>
      </c>
    </row>
    <row r="245" spans="1:16">
      <c r="A245" s="18">
        <v>342</v>
      </c>
      <c r="B245" s="19">
        <v>45624</v>
      </c>
      <c r="C245" s="20" t="str">
        <f t="shared" si="14"/>
        <v>Nov</v>
      </c>
      <c r="D245" s="20" t="s">
        <v>8</v>
      </c>
      <c r="E245" s="20" t="s">
        <v>51</v>
      </c>
      <c r="F245" s="20" t="s">
        <v>64</v>
      </c>
      <c r="G245" s="20" t="str">
        <f>VLOOKUP(F245,'CUSTOMER INFO'!B10:D17,2,FALSE)</f>
        <v>CarePlus Medical Store</v>
      </c>
      <c r="H245" s="20" t="str">
        <f>VLOOKUP(F245,'CUSTOMER INFO'!B10:D17,3,FALSE)</f>
        <v>Riya Mishra</v>
      </c>
      <c r="I245" s="20" t="s">
        <v>59</v>
      </c>
      <c r="J245" s="20" t="s">
        <v>133</v>
      </c>
      <c r="K245" s="19">
        <v>46235</v>
      </c>
      <c r="L245" s="20">
        <v>48</v>
      </c>
      <c r="M245" s="21">
        <v>95</v>
      </c>
      <c r="N245" s="22">
        <f t="shared" si="15"/>
        <v>4560</v>
      </c>
      <c r="O245" s="24" t="str">
        <f t="shared" si="12"/>
        <v>N</v>
      </c>
      <c r="P245" s="21">
        <f t="shared" si="13"/>
        <v>4560</v>
      </c>
    </row>
    <row r="246" spans="1:16">
      <c r="A246" s="18">
        <v>343</v>
      </c>
      <c r="B246" s="19">
        <v>45625</v>
      </c>
      <c r="C246" s="20" t="str">
        <f t="shared" si="14"/>
        <v>Nov</v>
      </c>
      <c r="D246" s="20" t="s">
        <v>5</v>
      </c>
      <c r="E246" s="20" t="s">
        <v>39</v>
      </c>
      <c r="F246" s="20" t="s">
        <v>40</v>
      </c>
      <c r="G246" s="20" t="str">
        <f>VLOOKUP(F246,'CUSTOMER INFO'!B3:D10,2,FALSE)</f>
        <v>Shree Medical &amp; General Store</v>
      </c>
      <c r="H246" s="20" t="str">
        <f>VLOOKUP(F246,'CUSTOMER INFO'!B3:D10,3,FALSE)</f>
        <v>Abhijeet Kulkarni</v>
      </c>
      <c r="I246" s="20" t="s">
        <v>62</v>
      </c>
      <c r="J246" s="20" t="s">
        <v>134</v>
      </c>
      <c r="K246" s="19">
        <v>45870</v>
      </c>
      <c r="L246" s="20">
        <v>58</v>
      </c>
      <c r="M246" s="21">
        <v>18</v>
      </c>
      <c r="N246" s="22">
        <f t="shared" si="15"/>
        <v>1044</v>
      </c>
      <c r="O246" s="24" t="str">
        <f t="shared" si="12"/>
        <v>N</v>
      </c>
      <c r="P246" s="21">
        <f t="shared" si="13"/>
        <v>1044</v>
      </c>
    </row>
    <row r="247" spans="1:16">
      <c r="A247" s="18">
        <v>344</v>
      </c>
      <c r="B247" s="19">
        <v>45626</v>
      </c>
      <c r="C247" s="20" t="str">
        <f t="shared" si="14"/>
        <v>Nov</v>
      </c>
      <c r="D247" s="20" t="s">
        <v>10</v>
      </c>
      <c r="E247" s="20" t="s">
        <v>43</v>
      </c>
      <c r="F247" s="20" t="s">
        <v>44</v>
      </c>
      <c r="G247" s="20" t="str">
        <f>VLOOKUP(F247,'CUSTOMER INFO'!B4:D11,2,FALSE)</f>
        <v>JeevanCare Medical Store</v>
      </c>
      <c r="H247" s="20" t="str">
        <f>VLOOKUP(F247,'CUSTOMER INFO'!B4:D11,3,FALSE)</f>
        <v>Neha Patel</v>
      </c>
      <c r="I247" s="20" t="s">
        <v>41</v>
      </c>
      <c r="J247" s="20" t="s">
        <v>128</v>
      </c>
      <c r="K247" s="19">
        <v>46266</v>
      </c>
      <c r="L247" s="20">
        <v>35</v>
      </c>
      <c r="M247" s="21">
        <v>75</v>
      </c>
      <c r="N247" s="22">
        <f t="shared" si="15"/>
        <v>2625</v>
      </c>
      <c r="O247" s="24" t="str">
        <f t="shared" si="12"/>
        <v>N</v>
      </c>
      <c r="P247" s="21">
        <f t="shared" si="13"/>
        <v>2625</v>
      </c>
    </row>
    <row r="248" spans="1:16">
      <c r="A248" s="18">
        <v>345</v>
      </c>
      <c r="B248" s="19">
        <v>45627</v>
      </c>
      <c r="C248" s="20" t="str">
        <f t="shared" si="14"/>
        <v>Dec</v>
      </c>
      <c r="D248" s="20" t="s">
        <v>4</v>
      </c>
      <c r="E248" s="20" t="s">
        <v>47</v>
      </c>
      <c r="F248" s="20" t="s">
        <v>48</v>
      </c>
      <c r="G248" s="20" t="str">
        <f>VLOOKUP(F248,'CUSTOMER INFO'!B5:D12,2,FALSE)</f>
        <v>Arogya Medical &amp; General</v>
      </c>
      <c r="H248" s="20" t="str">
        <f>VLOOKUP(F248,'CUSTOMER INFO'!B5:D12,3,FALSE)</f>
        <v>Hrishkesh Jadhv</v>
      </c>
      <c r="I248" s="20" t="s">
        <v>45</v>
      </c>
      <c r="J248" s="20" t="s">
        <v>129</v>
      </c>
      <c r="K248" s="19">
        <v>45870</v>
      </c>
      <c r="L248" s="20">
        <v>22</v>
      </c>
      <c r="M248" s="21">
        <v>55</v>
      </c>
      <c r="N248" s="22">
        <f t="shared" si="15"/>
        <v>1210</v>
      </c>
      <c r="O248" s="24" t="str">
        <f t="shared" si="12"/>
        <v>N</v>
      </c>
      <c r="P248" s="21">
        <f t="shared" si="13"/>
        <v>1210</v>
      </c>
    </row>
    <row r="249" spans="1:16">
      <c r="A249" s="18">
        <v>346</v>
      </c>
      <c r="B249" s="19">
        <v>45628</v>
      </c>
      <c r="C249" s="20" t="str">
        <f t="shared" si="14"/>
        <v>Dec</v>
      </c>
      <c r="D249" s="20" t="s">
        <v>6</v>
      </c>
      <c r="E249" s="20" t="s">
        <v>51</v>
      </c>
      <c r="F249" s="20" t="s">
        <v>52</v>
      </c>
      <c r="G249" s="20" t="str">
        <f>VLOOKUP(F249,'CUSTOMER INFO'!B6:D13,2,FALSE)</f>
        <v>MedEase</v>
      </c>
      <c r="H249" s="20" t="str">
        <f>VLOOKUP(F249,'CUSTOMER INFO'!B6:D13,3,FALSE)</f>
        <v>Siddant Patil</v>
      </c>
      <c r="I249" s="20" t="s">
        <v>49</v>
      </c>
      <c r="J249" s="20" t="s">
        <v>130</v>
      </c>
      <c r="K249" s="19">
        <v>46266</v>
      </c>
      <c r="L249" s="20">
        <v>26</v>
      </c>
      <c r="M249" s="21">
        <v>32</v>
      </c>
      <c r="N249" s="22">
        <f t="shared" si="15"/>
        <v>832</v>
      </c>
      <c r="O249" s="24" t="str">
        <f t="shared" si="12"/>
        <v>N</v>
      </c>
      <c r="P249" s="21">
        <f t="shared" si="13"/>
        <v>832</v>
      </c>
    </row>
    <row r="250" spans="1:16">
      <c r="A250" s="18">
        <v>347</v>
      </c>
      <c r="B250" s="19">
        <v>45629</v>
      </c>
      <c r="C250" s="20" t="str">
        <f t="shared" si="14"/>
        <v>Dec</v>
      </c>
      <c r="D250" s="20" t="s">
        <v>9</v>
      </c>
      <c r="E250" s="20" t="s">
        <v>39</v>
      </c>
      <c r="F250" s="20" t="s">
        <v>55</v>
      </c>
      <c r="G250" s="20" t="str">
        <f>VLOOKUP(F250,'CUSTOMER INFO'!B7:D14,2,FALSE)</f>
        <v>CityMed Pharmacy</v>
      </c>
      <c r="H250" s="20" t="str">
        <f>VLOOKUP(F250,'CUSTOMER INFO'!B7:D14,3,FALSE)</f>
        <v>Vikram Shah</v>
      </c>
      <c r="I250" s="20" t="s">
        <v>53</v>
      </c>
      <c r="J250" s="20" t="s">
        <v>131</v>
      </c>
      <c r="K250" s="19">
        <v>46357</v>
      </c>
      <c r="L250" s="20">
        <v>68</v>
      </c>
      <c r="M250" s="21">
        <v>90</v>
      </c>
      <c r="N250" s="22">
        <f t="shared" si="15"/>
        <v>6120</v>
      </c>
      <c r="O250" s="24" t="str">
        <f t="shared" si="12"/>
        <v>Y</v>
      </c>
      <c r="P250" s="21">
        <f t="shared" si="13"/>
        <v>5814</v>
      </c>
    </row>
    <row r="251" spans="1:16">
      <c r="A251" s="18">
        <v>348</v>
      </c>
      <c r="B251" s="19">
        <v>45630</v>
      </c>
      <c r="C251" s="20" t="str">
        <f t="shared" si="14"/>
        <v>Dec</v>
      </c>
      <c r="D251" s="20" t="s">
        <v>7</v>
      </c>
      <c r="E251" s="20" t="s">
        <v>43</v>
      </c>
      <c r="F251" s="20" t="s">
        <v>58</v>
      </c>
      <c r="G251" s="20" t="str">
        <f>VLOOKUP(F251,'CUSTOMER INFO'!B8:D15,2,FALSE)</f>
        <v>TrustCare Medicals</v>
      </c>
      <c r="H251" s="20" t="str">
        <f>VLOOKUP(F251,'CUSTOMER INFO'!B8:D15,3,FALSE)</f>
        <v>Pooja Sharma</v>
      </c>
      <c r="I251" s="20" t="s">
        <v>56</v>
      </c>
      <c r="J251" s="20" t="s">
        <v>132</v>
      </c>
      <c r="K251" s="19">
        <v>46296</v>
      </c>
      <c r="L251" s="20">
        <v>45</v>
      </c>
      <c r="M251" s="21">
        <v>20</v>
      </c>
      <c r="N251" s="22">
        <f t="shared" si="15"/>
        <v>900</v>
      </c>
      <c r="O251" s="24" t="str">
        <f t="shared" si="12"/>
        <v>N</v>
      </c>
      <c r="P251" s="21">
        <f t="shared" si="13"/>
        <v>900</v>
      </c>
    </row>
    <row r="252" spans="1:16">
      <c r="A252" s="18">
        <v>349</v>
      </c>
      <c r="B252" s="19">
        <v>45631</v>
      </c>
      <c r="C252" s="20" t="str">
        <f t="shared" si="14"/>
        <v>Dec</v>
      </c>
      <c r="D252" s="20" t="s">
        <v>3</v>
      </c>
      <c r="E252" s="20" t="s">
        <v>47</v>
      </c>
      <c r="F252" s="20" t="s">
        <v>61</v>
      </c>
      <c r="G252" s="20" t="str">
        <f>VLOOKUP(F252,'CUSTOMER INFO'!B9:D16,2,FALSE)</f>
        <v>Lifeline Medicals</v>
      </c>
      <c r="H252" s="20" t="str">
        <f>VLOOKUP(F252,'CUSTOMER INFO'!B9:D16,3,FALSE)</f>
        <v>Harshal Singh</v>
      </c>
      <c r="I252" s="20" t="s">
        <v>59</v>
      </c>
      <c r="J252" s="20" t="s">
        <v>133</v>
      </c>
      <c r="K252" s="19">
        <v>46083</v>
      </c>
      <c r="L252" s="20">
        <v>59</v>
      </c>
      <c r="M252" s="21">
        <v>35</v>
      </c>
      <c r="N252" s="22">
        <f t="shared" si="15"/>
        <v>2065</v>
      </c>
      <c r="O252" s="24" t="str">
        <f t="shared" si="12"/>
        <v>N</v>
      </c>
      <c r="P252" s="21">
        <f t="shared" si="13"/>
        <v>2065</v>
      </c>
    </row>
    <row r="253" spans="1:16">
      <c r="A253" s="18">
        <v>350</v>
      </c>
      <c r="B253" s="19">
        <v>45632</v>
      </c>
      <c r="C253" s="20" t="str">
        <f t="shared" si="14"/>
        <v>Dec</v>
      </c>
      <c r="D253" s="20" t="s">
        <v>8</v>
      </c>
      <c r="E253" s="20" t="s">
        <v>51</v>
      </c>
      <c r="F253" s="20" t="s">
        <v>64</v>
      </c>
      <c r="G253" s="20" t="str">
        <f>VLOOKUP(F253,'CUSTOMER INFO'!B10:D17,2,FALSE)</f>
        <v>CarePlus Medical Store</v>
      </c>
      <c r="H253" s="20" t="str">
        <f>VLOOKUP(F253,'CUSTOMER INFO'!B10:D17,3,FALSE)</f>
        <v>Riya Mishra</v>
      </c>
      <c r="I253" s="20" t="s">
        <v>62</v>
      </c>
      <c r="J253" s="20" t="s">
        <v>134</v>
      </c>
      <c r="K253" s="19">
        <v>46381</v>
      </c>
      <c r="L253" s="20">
        <v>45</v>
      </c>
      <c r="M253" s="21">
        <v>42</v>
      </c>
      <c r="N253" s="22">
        <f t="shared" si="15"/>
        <v>1890</v>
      </c>
      <c r="O253" s="24" t="str">
        <f t="shared" si="12"/>
        <v>N</v>
      </c>
      <c r="P253" s="21">
        <f t="shared" si="13"/>
        <v>1890</v>
      </c>
    </row>
    <row r="254" spans="1:16">
      <c r="A254" s="18">
        <v>351</v>
      </c>
      <c r="B254" s="19">
        <v>45633</v>
      </c>
      <c r="C254" s="20" t="str">
        <f t="shared" si="14"/>
        <v>Dec</v>
      </c>
      <c r="D254" s="20" t="s">
        <v>5</v>
      </c>
      <c r="E254" s="20" t="s">
        <v>39</v>
      </c>
      <c r="F254" s="20" t="s">
        <v>40</v>
      </c>
      <c r="G254" s="20" t="str">
        <f>VLOOKUP(F254,'CUSTOMER INFO'!B3:D9,2,FALSE)</f>
        <v>Shree Medical &amp; General Store</v>
      </c>
      <c r="H254" s="20" t="str">
        <f>VLOOKUP(F254,'CUSTOMER INFO'!B3:D10,3,FALSE)</f>
        <v>Abhijeet Kulkarni</v>
      </c>
      <c r="I254" s="20" t="s">
        <v>65</v>
      </c>
      <c r="J254" s="20" t="s">
        <v>135</v>
      </c>
      <c r="K254" s="19">
        <v>46115</v>
      </c>
      <c r="L254" s="20">
        <v>35</v>
      </c>
      <c r="M254" s="21">
        <v>22</v>
      </c>
      <c r="N254" s="22">
        <f t="shared" si="15"/>
        <v>770</v>
      </c>
      <c r="O254" s="24" t="str">
        <f t="shared" si="12"/>
        <v>N</v>
      </c>
      <c r="P254" s="21">
        <f t="shared" si="13"/>
        <v>770</v>
      </c>
    </row>
    <row r="255" spans="1:16">
      <c r="A255" s="18">
        <v>352</v>
      </c>
      <c r="B255" s="19">
        <v>45634</v>
      </c>
      <c r="C255" s="20" t="str">
        <f t="shared" si="14"/>
        <v>Dec</v>
      </c>
      <c r="D255" s="20" t="s">
        <v>10</v>
      </c>
      <c r="E255" s="20" t="s">
        <v>43</v>
      </c>
      <c r="F255" s="20" t="s">
        <v>44</v>
      </c>
      <c r="G255" s="20" t="str">
        <f>VLOOKUP(F255,'CUSTOMER INFO'!B4:D10,2,FALSE)</f>
        <v>JeevanCare Medical Store</v>
      </c>
      <c r="H255" s="20" t="str">
        <f>VLOOKUP(F255,'CUSTOMER INFO'!B4:D11,3,FALSE)</f>
        <v>Neha Patel</v>
      </c>
      <c r="I255" s="20" t="s">
        <v>67</v>
      </c>
      <c r="J255" s="20" t="s">
        <v>136</v>
      </c>
      <c r="K255" s="19">
        <v>46178</v>
      </c>
      <c r="L255" s="20">
        <v>58</v>
      </c>
      <c r="M255" s="21">
        <v>48</v>
      </c>
      <c r="N255" s="22">
        <f t="shared" si="15"/>
        <v>2784</v>
      </c>
      <c r="O255" s="24" t="str">
        <f t="shared" si="12"/>
        <v>N</v>
      </c>
      <c r="P255" s="21">
        <f t="shared" si="13"/>
        <v>2784</v>
      </c>
    </row>
    <row r="256" spans="1:16">
      <c r="A256" s="18">
        <v>353</v>
      </c>
      <c r="B256" s="19">
        <v>45635</v>
      </c>
      <c r="C256" s="20" t="str">
        <f t="shared" si="14"/>
        <v>Dec</v>
      </c>
      <c r="D256" s="20" t="s">
        <v>4</v>
      </c>
      <c r="E256" s="20" t="s">
        <v>39</v>
      </c>
      <c r="F256" s="20" t="s">
        <v>48</v>
      </c>
      <c r="G256" s="20" t="str">
        <f>VLOOKUP(F256,'CUSTOMER INFO'!B5:D11,2,FALSE)</f>
        <v>Arogya Medical &amp; General</v>
      </c>
      <c r="H256" s="20" t="str">
        <f>VLOOKUP(F256,'CUSTOMER INFO'!B5:D12,3,FALSE)</f>
        <v>Hrishkesh Jadhv</v>
      </c>
      <c r="I256" s="20" t="s">
        <v>69</v>
      </c>
      <c r="J256" s="20" t="s">
        <v>137</v>
      </c>
      <c r="K256" s="19">
        <v>46297</v>
      </c>
      <c r="L256" s="20">
        <v>65</v>
      </c>
      <c r="M256" s="21">
        <v>95</v>
      </c>
      <c r="N256" s="22">
        <f t="shared" si="15"/>
        <v>6175</v>
      </c>
      <c r="O256" s="24" t="str">
        <f t="shared" si="12"/>
        <v>Y</v>
      </c>
      <c r="P256" s="21">
        <f t="shared" si="13"/>
        <v>5866.25</v>
      </c>
    </row>
    <row r="257" spans="1:16">
      <c r="A257" s="18">
        <v>354</v>
      </c>
      <c r="B257" s="19">
        <v>45636</v>
      </c>
      <c r="C257" s="20" t="str">
        <f t="shared" si="14"/>
        <v>Dec</v>
      </c>
      <c r="D257" s="20" t="s">
        <v>6</v>
      </c>
      <c r="E257" s="20" t="s">
        <v>43</v>
      </c>
      <c r="F257" s="20" t="s">
        <v>52</v>
      </c>
      <c r="G257" s="20" t="str">
        <f>VLOOKUP(F257,'CUSTOMER INFO'!B6:D12,2,FALSE)</f>
        <v>MedEase</v>
      </c>
      <c r="H257" s="20" t="str">
        <f>VLOOKUP(F257,'CUSTOMER INFO'!B6:D13,3,FALSE)</f>
        <v>Siddant Patil</v>
      </c>
      <c r="I257" s="20" t="s">
        <v>71</v>
      </c>
      <c r="J257" s="20" t="s">
        <v>138</v>
      </c>
      <c r="K257" s="19">
        <v>46357</v>
      </c>
      <c r="L257" s="20">
        <v>28</v>
      </c>
      <c r="M257" s="21">
        <v>18</v>
      </c>
      <c r="N257" s="22">
        <f t="shared" si="15"/>
        <v>504</v>
      </c>
      <c r="O257" s="24" t="str">
        <f t="shared" si="12"/>
        <v>N</v>
      </c>
      <c r="P257" s="21">
        <f t="shared" si="13"/>
        <v>504</v>
      </c>
    </row>
    <row r="258" spans="1:16">
      <c r="A258" s="18">
        <v>355</v>
      </c>
      <c r="B258" s="19">
        <v>45637</v>
      </c>
      <c r="C258" s="20" t="str">
        <f t="shared" si="14"/>
        <v>Dec</v>
      </c>
      <c r="D258" s="20" t="s">
        <v>9</v>
      </c>
      <c r="E258" s="20" t="s">
        <v>47</v>
      </c>
      <c r="F258" s="20" t="s">
        <v>55</v>
      </c>
      <c r="G258" s="20" t="str">
        <f>VLOOKUP(F258,'CUSTOMER INFO'!B7:D13,2,FALSE)</f>
        <v>CityMed Pharmacy</v>
      </c>
      <c r="H258" s="20" t="str">
        <f>VLOOKUP(F258,'CUSTOMER INFO'!B7:D14,3,FALSE)</f>
        <v>Vikram Shah</v>
      </c>
      <c r="I258" s="20" t="s">
        <v>41</v>
      </c>
      <c r="J258" s="20" t="s">
        <v>139</v>
      </c>
      <c r="K258" s="19">
        <v>46266</v>
      </c>
      <c r="L258" s="20">
        <v>48</v>
      </c>
      <c r="M258" s="21">
        <v>75</v>
      </c>
      <c r="N258" s="22">
        <f t="shared" si="15"/>
        <v>3600</v>
      </c>
      <c r="O258" s="24" t="str">
        <f t="shared" si="12"/>
        <v>N</v>
      </c>
      <c r="P258" s="21">
        <f t="shared" si="13"/>
        <v>3600</v>
      </c>
    </row>
    <row r="259" spans="1:16">
      <c r="A259" s="18">
        <v>356</v>
      </c>
      <c r="B259" s="19">
        <v>45638</v>
      </c>
      <c r="C259" s="20" t="str">
        <f t="shared" si="14"/>
        <v>Dec</v>
      </c>
      <c r="D259" s="20" t="s">
        <v>9</v>
      </c>
      <c r="E259" s="20" t="s">
        <v>51</v>
      </c>
      <c r="F259" s="20" t="s">
        <v>58</v>
      </c>
      <c r="G259" s="20" t="str">
        <f>VLOOKUP(F259,'CUSTOMER INFO'!B8:D14,2,FALSE)</f>
        <v>TrustCare Medicals</v>
      </c>
      <c r="H259" s="20" t="str">
        <f>VLOOKUP(F259,'CUSTOMER INFO'!B8:D15,3,FALSE)</f>
        <v>Pooja Sharma</v>
      </c>
      <c r="I259" s="20" t="s">
        <v>45</v>
      </c>
      <c r="J259" s="20" t="s">
        <v>140</v>
      </c>
      <c r="K259" s="19">
        <v>45870</v>
      </c>
      <c r="L259" s="20">
        <v>38</v>
      </c>
      <c r="M259" s="21">
        <v>55</v>
      </c>
      <c r="N259" s="22">
        <f t="shared" si="15"/>
        <v>2090</v>
      </c>
      <c r="O259" s="24" t="str">
        <f t="shared" si="12"/>
        <v>N</v>
      </c>
      <c r="P259" s="21">
        <f t="shared" si="13"/>
        <v>2090</v>
      </c>
    </row>
    <row r="260" spans="1:16">
      <c r="A260" s="18">
        <v>357</v>
      </c>
      <c r="B260" s="19">
        <v>45639</v>
      </c>
      <c r="C260" s="20" t="str">
        <f t="shared" si="14"/>
        <v>Dec</v>
      </c>
      <c r="D260" s="20" t="s">
        <v>7</v>
      </c>
      <c r="E260" s="20" t="s">
        <v>39</v>
      </c>
      <c r="F260" s="20" t="s">
        <v>61</v>
      </c>
      <c r="G260" s="20" t="str">
        <f>VLOOKUP(F260,'CUSTOMER INFO'!B9:D15,2,FALSE)</f>
        <v>Lifeline Medicals</v>
      </c>
      <c r="H260" s="20" t="str">
        <f>VLOOKUP(F260,'CUSTOMER INFO'!B9:D16,3,FALSE)</f>
        <v>Harshal Singh</v>
      </c>
      <c r="I260" s="20" t="s">
        <v>49</v>
      </c>
      <c r="J260" s="20" t="s">
        <v>141</v>
      </c>
      <c r="K260" s="19">
        <v>46266</v>
      </c>
      <c r="L260" s="20">
        <v>48</v>
      </c>
      <c r="M260" s="21">
        <v>32</v>
      </c>
      <c r="N260" s="22">
        <f t="shared" si="15"/>
        <v>1536</v>
      </c>
      <c r="O260" s="24" t="str">
        <f t="shared" ref="O260:O323" si="16">IF(L260&gt;=60,"Y","N")</f>
        <v>N</v>
      </c>
      <c r="P260" s="21">
        <f t="shared" ref="P260:P323" si="17">IF(L260&gt;=60,0.95*N260,N260)</f>
        <v>1536</v>
      </c>
    </row>
    <row r="261" spans="1:16">
      <c r="A261" s="18">
        <v>358</v>
      </c>
      <c r="B261" s="19">
        <v>45640</v>
      </c>
      <c r="C261" s="20" t="str">
        <f t="shared" ref="C261:C324" si="18">TEXT(B261,"mmm")</f>
        <v>Dec</v>
      </c>
      <c r="D261" s="20" t="s">
        <v>3</v>
      </c>
      <c r="E261" s="20" t="s">
        <v>43</v>
      </c>
      <c r="F261" s="20" t="s">
        <v>64</v>
      </c>
      <c r="G261" s="20" t="str">
        <f>VLOOKUP(F261,'CUSTOMER INFO'!B10:D16,2,FALSE)</f>
        <v>CarePlus Medical Store</v>
      </c>
      <c r="H261" s="20" t="str">
        <f>VLOOKUP(F261,'CUSTOMER INFO'!B10:D17,3,FALSE)</f>
        <v>Riya Mishra</v>
      </c>
      <c r="I261" s="20" t="s">
        <v>53</v>
      </c>
      <c r="J261" s="20" t="s">
        <v>142</v>
      </c>
      <c r="K261" s="19">
        <v>46357</v>
      </c>
      <c r="L261" s="20">
        <v>58</v>
      </c>
      <c r="M261" s="21">
        <v>90</v>
      </c>
      <c r="N261" s="22">
        <f t="shared" ref="N261:N324" si="19">L261*M261</f>
        <v>5220</v>
      </c>
      <c r="O261" s="24" t="str">
        <f t="shared" si="16"/>
        <v>N</v>
      </c>
      <c r="P261" s="21">
        <f t="shared" si="17"/>
        <v>5220</v>
      </c>
    </row>
    <row r="262" spans="1:16">
      <c r="A262" s="18">
        <v>359</v>
      </c>
      <c r="B262" s="19">
        <v>45641</v>
      </c>
      <c r="C262" s="20" t="str">
        <f t="shared" si="18"/>
        <v>Dec</v>
      </c>
      <c r="D262" s="20" t="s">
        <v>8</v>
      </c>
      <c r="E262" s="20" t="s">
        <v>47</v>
      </c>
      <c r="F262" s="20" t="s">
        <v>40</v>
      </c>
      <c r="G262" s="20" t="str">
        <f>VLOOKUP(F262,'CUSTOMER INFO'!B3:D10,2,FALSE)</f>
        <v>Shree Medical &amp; General Store</v>
      </c>
      <c r="H262" s="20" t="str">
        <f>VLOOKUP(F262,'CUSTOMER INFO'!B3:D10,3,FALSE)</f>
        <v>Abhijeet Kulkarni</v>
      </c>
      <c r="I262" s="20" t="s">
        <v>56</v>
      </c>
      <c r="J262" s="20" t="s">
        <v>143</v>
      </c>
      <c r="K262" s="19">
        <v>46296</v>
      </c>
      <c r="L262" s="20">
        <v>35</v>
      </c>
      <c r="M262" s="21">
        <v>20</v>
      </c>
      <c r="N262" s="22">
        <f t="shared" si="19"/>
        <v>700</v>
      </c>
      <c r="O262" s="24" t="str">
        <f t="shared" si="16"/>
        <v>N</v>
      </c>
      <c r="P262" s="21">
        <f t="shared" si="17"/>
        <v>700</v>
      </c>
    </row>
    <row r="263" spans="1:16">
      <c r="A263" s="18">
        <v>360</v>
      </c>
      <c r="B263" s="19">
        <v>45642</v>
      </c>
      <c r="C263" s="20" t="str">
        <f t="shared" si="18"/>
        <v>Dec</v>
      </c>
      <c r="D263" s="20" t="s">
        <v>5</v>
      </c>
      <c r="E263" s="20" t="s">
        <v>51</v>
      </c>
      <c r="F263" s="20" t="s">
        <v>44</v>
      </c>
      <c r="G263" s="20" t="str">
        <f>VLOOKUP(F263,'CUSTOMER INFO'!B4:D11,2,FALSE)</f>
        <v>JeevanCare Medical Store</v>
      </c>
      <c r="H263" s="20" t="str">
        <f>VLOOKUP(F263,'CUSTOMER INFO'!B4:D11,3,FALSE)</f>
        <v>Neha Patel</v>
      </c>
      <c r="I263" s="20" t="s">
        <v>59</v>
      </c>
      <c r="J263" s="20" t="s">
        <v>144</v>
      </c>
      <c r="K263" s="19">
        <v>46083</v>
      </c>
      <c r="L263" s="20">
        <v>22</v>
      </c>
      <c r="M263" s="21">
        <v>35</v>
      </c>
      <c r="N263" s="22">
        <f t="shared" si="19"/>
        <v>770</v>
      </c>
      <c r="O263" s="24" t="str">
        <f t="shared" si="16"/>
        <v>N</v>
      </c>
      <c r="P263" s="21">
        <f t="shared" si="17"/>
        <v>770</v>
      </c>
    </row>
    <row r="264" spans="1:16">
      <c r="A264" s="18">
        <v>361</v>
      </c>
      <c r="B264" s="19">
        <v>45643</v>
      </c>
      <c r="C264" s="20" t="str">
        <f t="shared" si="18"/>
        <v>Dec</v>
      </c>
      <c r="D264" s="20" t="s">
        <v>10</v>
      </c>
      <c r="E264" s="20" t="s">
        <v>39</v>
      </c>
      <c r="F264" s="20" t="s">
        <v>48</v>
      </c>
      <c r="G264" s="20" t="str">
        <f>VLOOKUP(F264,'CUSTOMER INFO'!B5:D12,2,FALSE)</f>
        <v>Arogya Medical &amp; General</v>
      </c>
      <c r="H264" s="20" t="str">
        <f>VLOOKUP(F264,'CUSTOMER INFO'!B5:D12,3,FALSE)</f>
        <v>Hrishkesh Jadhv</v>
      </c>
      <c r="I264" s="20" t="s">
        <v>62</v>
      </c>
      <c r="J264" s="20" t="s">
        <v>145</v>
      </c>
      <c r="K264" s="19">
        <v>46381</v>
      </c>
      <c r="L264" s="20">
        <v>26</v>
      </c>
      <c r="M264" s="21">
        <v>42</v>
      </c>
      <c r="N264" s="22">
        <f t="shared" si="19"/>
        <v>1092</v>
      </c>
      <c r="O264" s="24" t="str">
        <f t="shared" si="16"/>
        <v>N</v>
      </c>
      <c r="P264" s="21">
        <f t="shared" si="17"/>
        <v>1092</v>
      </c>
    </row>
    <row r="265" spans="1:16">
      <c r="A265" s="18">
        <v>362</v>
      </c>
      <c r="B265" s="19">
        <v>45644</v>
      </c>
      <c r="C265" s="20" t="str">
        <f t="shared" si="18"/>
        <v>Dec</v>
      </c>
      <c r="D265" s="20" t="s">
        <v>4</v>
      </c>
      <c r="E265" s="20" t="s">
        <v>43</v>
      </c>
      <c r="F265" s="20" t="s">
        <v>52</v>
      </c>
      <c r="G265" s="20" t="str">
        <f>VLOOKUP(F265,'CUSTOMER INFO'!B6:D13,2,FALSE)</f>
        <v>MedEase</v>
      </c>
      <c r="H265" s="20" t="str">
        <f>VLOOKUP(F265,'CUSTOMER INFO'!B6:D13,3,FALSE)</f>
        <v>Siddant Patil</v>
      </c>
      <c r="I265" s="20" t="s">
        <v>41</v>
      </c>
      <c r="J265" s="20" t="s">
        <v>139</v>
      </c>
      <c r="K265" s="19">
        <v>46115</v>
      </c>
      <c r="L265" s="20">
        <v>68</v>
      </c>
      <c r="M265" s="21">
        <v>22</v>
      </c>
      <c r="N265" s="22">
        <f t="shared" si="19"/>
        <v>1496</v>
      </c>
      <c r="O265" s="24" t="str">
        <f t="shared" si="16"/>
        <v>Y</v>
      </c>
      <c r="P265" s="21">
        <f t="shared" si="17"/>
        <v>1421.2</v>
      </c>
    </row>
    <row r="266" spans="1:16">
      <c r="A266" s="18">
        <v>363</v>
      </c>
      <c r="B266" s="19">
        <v>45645</v>
      </c>
      <c r="C266" s="20" t="str">
        <f t="shared" si="18"/>
        <v>Dec</v>
      </c>
      <c r="D266" s="20" t="s">
        <v>6</v>
      </c>
      <c r="E266" s="20" t="s">
        <v>47</v>
      </c>
      <c r="F266" s="20" t="s">
        <v>55</v>
      </c>
      <c r="G266" s="20" t="str">
        <f>VLOOKUP(F266,'CUSTOMER INFO'!B7:D14,2,FALSE)</f>
        <v>CityMed Pharmacy</v>
      </c>
      <c r="H266" s="20" t="str">
        <f>VLOOKUP(F266,'CUSTOMER INFO'!B7:D14,3,FALSE)</f>
        <v>Vikram Shah</v>
      </c>
      <c r="I266" s="20" t="s">
        <v>45</v>
      </c>
      <c r="J266" s="20" t="s">
        <v>140</v>
      </c>
      <c r="K266" s="19">
        <v>46178</v>
      </c>
      <c r="L266" s="20">
        <v>45</v>
      </c>
      <c r="M266" s="21">
        <v>48</v>
      </c>
      <c r="N266" s="22">
        <f t="shared" si="19"/>
        <v>2160</v>
      </c>
      <c r="O266" s="24" t="str">
        <f t="shared" si="16"/>
        <v>N</v>
      </c>
      <c r="P266" s="21">
        <f t="shared" si="17"/>
        <v>2160</v>
      </c>
    </row>
    <row r="267" spans="1:16">
      <c r="A267" s="18">
        <v>364</v>
      </c>
      <c r="B267" s="19">
        <v>45646</v>
      </c>
      <c r="C267" s="20" t="str">
        <f t="shared" si="18"/>
        <v>Dec</v>
      </c>
      <c r="D267" s="20" t="s">
        <v>9</v>
      </c>
      <c r="E267" s="20" t="s">
        <v>51</v>
      </c>
      <c r="F267" s="20" t="s">
        <v>58</v>
      </c>
      <c r="G267" s="20" t="str">
        <f>VLOOKUP(F267,'CUSTOMER INFO'!B8:D15,2,FALSE)</f>
        <v>TrustCare Medicals</v>
      </c>
      <c r="H267" s="20" t="str">
        <f>VLOOKUP(F267,'CUSTOMER INFO'!B8:D15,3,FALSE)</f>
        <v>Pooja Sharma</v>
      </c>
      <c r="I267" s="20" t="s">
        <v>49</v>
      </c>
      <c r="J267" s="20" t="s">
        <v>141</v>
      </c>
      <c r="K267" s="19">
        <v>46297</v>
      </c>
      <c r="L267" s="20">
        <v>59</v>
      </c>
      <c r="M267" s="21">
        <v>95</v>
      </c>
      <c r="N267" s="22">
        <f t="shared" si="19"/>
        <v>5605</v>
      </c>
      <c r="O267" s="24" t="str">
        <f t="shared" si="16"/>
        <v>N</v>
      </c>
      <c r="P267" s="21">
        <f t="shared" si="17"/>
        <v>5605</v>
      </c>
    </row>
    <row r="268" spans="1:16">
      <c r="A268" s="18">
        <v>365</v>
      </c>
      <c r="B268" s="19">
        <v>45647</v>
      </c>
      <c r="C268" s="20" t="str">
        <f t="shared" si="18"/>
        <v>Dec</v>
      </c>
      <c r="D268" s="20" t="s">
        <v>7</v>
      </c>
      <c r="E268" s="20" t="s">
        <v>39</v>
      </c>
      <c r="F268" s="20" t="s">
        <v>61</v>
      </c>
      <c r="G268" s="20" t="str">
        <f>VLOOKUP(F268,'CUSTOMER INFO'!B9:D16,2,FALSE)</f>
        <v>Lifeline Medicals</v>
      </c>
      <c r="H268" s="20" t="str">
        <f>VLOOKUP(F268,'CUSTOMER INFO'!B9:D16,3,FALSE)</f>
        <v>Harshal Singh</v>
      </c>
      <c r="I268" s="20" t="s">
        <v>53</v>
      </c>
      <c r="J268" s="20" t="s">
        <v>142</v>
      </c>
      <c r="K268" s="19">
        <v>46357</v>
      </c>
      <c r="L268" s="20">
        <v>45</v>
      </c>
      <c r="M268" s="21">
        <v>18</v>
      </c>
      <c r="N268" s="22">
        <f t="shared" si="19"/>
        <v>810</v>
      </c>
      <c r="O268" s="24" t="str">
        <f t="shared" si="16"/>
        <v>N</v>
      </c>
      <c r="P268" s="21">
        <f t="shared" si="17"/>
        <v>810</v>
      </c>
    </row>
    <row r="269" spans="1:16">
      <c r="A269" s="18">
        <v>366</v>
      </c>
      <c r="B269" s="19">
        <v>45648</v>
      </c>
      <c r="C269" s="20" t="str">
        <f t="shared" si="18"/>
        <v>Dec</v>
      </c>
      <c r="D269" s="20" t="s">
        <v>3</v>
      </c>
      <c r="E269" s="20" t="s">
        <v>43</v>
      </c>
      <c r="F269" s="20" t="s">
        <v>64</v>
      </c>
      <c r="G269" s="20" t="str">
        <f>VLOOKUP(F269,'CUSTOMER INFO'!B10:D17,2,FALSE)</f>
        <v>CarePlus Medical Store</v>
      </c>
      <c r="H269" s="20" t="str">
        <f>VLOOKUP(F269,'CUSTOMER INFO'!B10:D17,3,FALSE)</f>
        <v>Riya Mishra</v>
      </c>
      <c r="I269" s="20" t="s">
        <v>56</v>
      </c>
      <c r="J269" s="20" t="s">
        <v>143</v>
      </c>
      <c r="K269" s="19">
        <v>46266</v>
      </c>
      <c r="L269" s="20">
        <v>35</v>
      </c>
      <c r="M269" s="21">
        <v>75</v>
      </c>
      <c r="N269" s="22">
        <f t="shared" si="19"/>
        <v>2625</v>
      </c>
      <c r="O269" s="24" t="str">
        <f t="shared" si="16"/>
        <v>N</v>
      </c>
      <c r="P269" s="21">
        <f t="shared" si="17"/>
        <v>2625</v>
      </c>
    </row>
    <row r="270" spans="1:16">
      <c r="A270" s="18">
        <v>367</v>
      </c>
      <c r="B270" s="19">
        <v>45649</v>
      </c>
      <c r="C270" s="20" t="str">
        <f t="shared" si="18"/>
        <v>Dec</v>
      </c>
      <c r="D270" s="20" t="s">
        <v>8</v>
      </c>
      <c r="E270" s="20" t="s">
        <v>39</v>
      </c>
      <c r="F270" s="20" t="s">
        <v>40</v>
      </c>
      <c r="G270" s="20" t="str">
        <f>VLOOKUP(F270,'CUSTOMER INFO'!B3:D10,2,FALSE)</f>
        <v>Shree Medical &amp; General Store</v>
      </c>
      <c r="H270" s="20" t="str">
        <f>VLOOKUP(F270,'CUSTOMER INFO'!B3:D10,3,FALSE)</f>
        <v>Abhijeet Kulkarni</v>
      </c>
      <c r="I270" s="20" t="s">
        <v>59</v>
      </c>
      <c r="J270" s="20" t="s">
        <v>144</v>
      </c>
      <c r="K270" s="19">
        <v>45870</v>
      </c>
      <c r="L270" s="20">
        <v>58</v>
      </c>
      <c r="M270" s="21">
        <v>55</v>
      </c>
      <c r="N270" s="22">
        <f t="shared" si="19"/>
        <v>3190</v>
      </c>
      <c r="O270" s="24" t="str">
        <f t="shared" si="16"/>
        <v>N</v>
      </c>
      <c r="P270" s="21">
        <f t="shared" si="17"/>
        <v>3190</v>
      </c>
    </row>
    <row r="271" spans="1:16">
      <c r="A271" s="18">
        <v>368</v>
      </c>
      <c r="B271" s="19">
        <v>45650</v>
      </c>
      <c r="C271" s="20" t="str">
        <f t="shared" si="18"/>
        <v>Dec</v>
      </c>
      <c r="D271" s="20" t="s">
        <v>5</v>
      </c>
      <c r="E271" s="20" t="s">
        <v>43</v>
      </c>
      <c r="F271" s="20" t="s">
        <v>44</v>
      </c>
      <c r="G271" s="20" t="str">
        <f>VLOOKUP(F271,'CUSTOMER INFO'!B4:D11,2,FALSE)</f>
        <v>JeevanCare Medical Store</v>
      </c>
      <c r="H271" s="20" t="str">
        <f>VLOOKUP(F271,'CUSTOMER INFO'!B4:D11,3,FALSE)</f>
        <v>Neha Patel</v>
      </c>
      <c r="I271" s="20" t="s">
        <v>62</v>
      </c>
      <c r="J271" s="20" t="s">
        <v>145</v>
      </c>
      <c r="K271" s="19">
        <v>46266</v>
      </c>
      <c r="L271" s="20">
        <v>65</v>
      </c>
      <c r="M271" s="21">
        <v>32</v>
      </c>
      <c r="N271" s="22">
        <f t="shared" si="19"/>
        <v>2080</v>
      </c>
      <c r="O271" s="24" t="str">
        <f t="shared" si="16"/>
        <v>Y</v>
      </c>
      <c r="P271" s="21">
        <f t="shared" si="17"/>
        <v>1976</v>
      </c>
    </row>
    <row r="272" spans="1:16">
      <c r="A272" s="18">
        <v>369</v>
      </c>
      <c r="B272" s="19">
        <v>45651</v>
      </c>
      <c r="C272" s="20" t="str">
        <f t="shared" si="18"/>
        <v>Dec</v>
      </c>
      <c r="D272" s="20" t="s">
        <v>10</v>
      </c>
      <c r="E272" s="20" t="s">
        <v>47</v>
      </c>
      <c r="F272" s="20" t="s">
        <v>48</v>
      </c>
      <c r="G272" s="20" t="str">
        <f>VLOOKUP(F272,'CUSTOMER INFO'!B5:D12,2,FALSE)</f>
        <v>Arogya Medical &amp; General</v>
      </c>
      <c r="H272" s="20" t="str">
        <f>VLOOKUP(F272,'CUSTOMER INFO'!B5:D12,3,FALSE)</f>
        <v>Hrishkesh Jadhv</v>
      </c>
      <c r="I272" s="20" t="s">
        <v>65</v>
      </c>
      <c r="J272" s="20" t="s">
        <v>146</v>
      </c>
      <c r="K272" s="19">
        <v>46357</v>
      </c>
      <c r="L272" s="20">
        <v>28</v>
      </c>
      <c r="M272" s="21">
        <v>90</v>
      </c>
      <c r="N272" s="22">
        <f t="shared" si="19"/>
        <v>2520</v>
      </c>
      <c r="O272" s="24" t="str">
        <f t="shared" si="16"/>
        <v>N</v>
      </c>
      <c r="P272" s="21">
        <f t="shared" si="17"/>
        <v>2520</v>
      </c>
    </row>
    <row r="273" spans="1:16">
      <c r="A273" s="18">
        <v>370</v>
      </c>
      <c r="B273" s="19">
        <v>45652</v>
      </c>
      <c r="C273" s="20" t="str">
        <f t="shared" si="18"/>
        <v>Dec</v>
      </c>
      <c r="D273" s="20" t="s">
        <v>4</v>
      </c>
      <c r="E273" s="20" t="s">
        <v>51</v>
      </c>
      <c r="F273" s="20" t="s">
        <v>52</v>
      </c>
      <c r="G273" s="20" t="str">
        <f>VLOOKUP(F273,'CUSTOMER INFO'!B6:D13,2,FALSE)</f>
        <v>MedEase</v>
      </c>
      <c r="H273" s="20" t="str">
        <f>VLOOKUP(F273,'CUSTOMER INFO'!B6:D13,3,FALSE)</f>
        <v>Siddant Patil</v>
      </c>
      <c r="I273" s="20" t="s">
        <v>67</v>
      </c>
      <c r="J273" s="20" t="s">
        <v>147</v>
      </c>
      <c r="K273" s="19">
        <v>46296</v>
      </c>
      <c r="L273" s="20">
        <v>48</v>
      </c>
      <c r="M273" s="21">
        <v>20</v>
      </c>
      <c r="N273" s="22">
        <f t="shared" si="19"/>
        <v>960</v>
      </c>
      <c r="O273" s="24" t="str">
        <f t="shared" si="16"/>
        <v>N</v>
      </c>
      <c r="P273" s="21">
        <f t="shared" si="17"/>
        <v>960</v>
      </c>
    </row>
    <row r="274" spans="1:16">
      <c r="A274" s="18">
        <v>371</v>
      </c>
      <c r="B274" s="19">
        <v>45653</v>
      </c>
      <c r="C274" s="20" t="str">
        <f t="shared" si="18"/>
        <v>Dec</v>
      </c>
      <c r="D274" s="20" t="s">
        <v>6</v>
      </c>
      <c r="E274" s="20" t="s">
        <v>39</v>
      </c>
      <c r="F274" s="20" t="s">
        <v>55</v>
      </c>
      <c r="G274" s="20" t="str">
        <f>VLOOKUP(F274,'CUSTOMER INFO'!B7:D14,2,FALSE)</f>
        <v>CityMed Pharmacy</v>
      </c>
      <c r="H274" s="20" t="str">
        <f>VLOOKUP(F274,'CUSTOMER INFO'!B7:D14,3,FALSE)</f>
        <v>Vikram Shah</v>
      </c>
      <c r="I274" s="20" t="s">
        <v>41</v>
      </c>
      <c r="J274" s="20" t="s">
        <v>128</v>
      </c>
      <c r="K274" s="19">
        <v>46083</v>
      </c>
      <c r="L274" s="20">
        <v>38</v>
      </c>
      <c r="M274" s="21">
        <v>35</v>
      </c>
      <c r="N274" s="22">
        <f t="shared" si="19"/>
        <v>1330</v>
      </c>
      <c r="O274" s="24" t="str">
        <f t="shared" si="16"/>
        <v>N</v>
      </c>
      <c r="P274" s="21">
        <f t="shared" si="17"/>
        <v>1330</v>
      </c>
    </row>
    <row r="275" spans="1:16">
      <c r="A275" s="18">
        <v>372</v>
      </c>
      <c r="B275" s="19">
        <v>45654</v>
      </c>
      <c r="C275" s="20" t="str">
        <f t="shared" si="18"/>
        <v>Dec</v>
      </c>
      <c r="D275" s="20" t="s">
        <v>9</v>
      </c>
      <c r="E275" s="20" t="s">
        <v>43</v>
      </c>
      <c r="F275" s="20" t="s">
        <v>58</v>
      </c>
      <c r="G275" s="20" t="str">
        <f>VLOOKUP(F275,'CUSTOMER INFO'!B8:D15,2,FALSE)</f>
        <v>TrustCare Medicals</v>
      </c>
      <c r="H275" s="20" t="str">
        <f>VLOOKUP(F275,'CUSTOMER INFO'!B8:D15,3,FALSE)</f>
        <v>Pooja Sharma</v>
      </c>
      <c r="I275" s="20" t="s">
        <v>45</v>
      </c>
      <c r="J275" s="20" t="s">
        <v>129</v>
      </c>
      <c r="K275" s="19">
        <v>46381</v>
      </c>
      <c r="L275" s="20">
        <v>48</v>
      </c>
      <c r="M275" s="21">
        <v>42</v>
      </c>
      <c r="N275" s="22">
        <f t="shared" si="19"/>
        <v>2016</v>
      </c>
      <c r="O275" s="24" t="str">
        <f t="shared" si="16"/>
        <v>N</v>
      </c>
      <c r="P275" s="21">
        <f t="shared" si="17"/>
        <v>2016</v>
      </c>
    </row>
    <row r="276" spans="1:16">
      <c r="A276" s="18">
        <v>373</v>
      </c>
      <c r="B276" s="19">
        <v>45655</v>
      </c>
      <c r="C276" s="20" t="str">
        <f t="shared" si="18"/>
        <v>Dec</v>
      </c>
      <c r="D276" s="20" t="s">
        <v>9</v>
      </c>
      <c r="E276" s="20" t="s">
        <v>47</v>
      </c>
      <c r="F276" s="20" t="s">
        <v>61</v>
      </c>
      <c r="G276" s="20" t="str">
        <f>VLOOKUP(F276,'CUSTOMER INFO'!B9:D16,2,FALSE)</f>
        <v>Lifeline Medicals</v>
      </c>
      <c r="H276" s="20" t="str">
        <f>VLOOKUP(F276,'CUSTOMER INFO'!B9:D16,3,FALSE)</f>
        <v>Harshal Singh</v>
      </c>
      <c r="I276" s="20" t="s">
        <v>49</v>
      </c>
      <c r="J276" s="20" t="s">
        <v>130</v>
      </c>
      <c r="K276" s="19">
        <v>46115</v>
      </c>
      <c r="L276" s="20">
        <v>58</v>
      </c>
      <c r="M276" s="21">
        <v>22</v>
      </c>
      <c r="N276" s="22">
        <f t="shared" si="19"/>
        <v>1276</v>
      </c>
      <c r="O276" s="24" t="str">
        <f t="shared" si="16"/>
        <v>N</v>
      </c>
      <c r="P276" s="21">
        <f t="shared" si="17"/>
        <v>1276</v>
      </c>
    </row>
    <row r="277" spans="1:16">
      <c r="A277" s="18">
        <v>374</v>
      </c>
      <c r="B277" s="19">
        <v>45656</v>
      </c>
      <c r="C277" s="20" t="str">
        <f t="shared" si="18"/>
        <v>Dec</v>
      </c>
      <c r="D277" s="20" t="s">
        <v>7</v>
      </c>
      <c r="E277" s="20" t="s">
        <v>51</v>
      </c>
      <c r="F277" s="20" t="s">
        <v>64</v>
      </c>
      <c r="G277" s="20" t="str">
        <f>VLOOKUP(F277,'CUSTOMER INFO'!B10:D17,2,FALSE)</f>
        <v>CarePlus Medical Store</v>
      </c>
      <c r="H277" s="20" t="str">
        <f>VLOOKUP(F277,'CUSTOMER INFO'!B10:D17,3,FALSE)</f>
        <v>Riya Mishra</v>
      </c>
      <c r="I277" s="20" t="s">
        <v>53</v>
      </c>
      <c r="J277" s="20" t="s">
        <v>131</v>
      </c>
      <c r="K277" s="19">
        <v>46178</v>
      </c>
      <c r="L277" s="20">
        <v>35</v>
      </c>
      <c r="M277" s="21">
        <v>48</v>
      </c>
      <c r="N277" s="22">
        <f t="shared" si="19"/>
        <v>1680</v>
      </c>
      <c r="O277" s="24" t="str">
        <f t="shared" si="16"/>
        <v>N</v>
      </c>
      <c r="P277" s="21">
        <f t="shared" si="17"/>
        <v>1680</v>
      </c>
    </row>
    <row r="278" spans="1:16">
      <c r="A278" s="18">
        <v>375</v>
      </c>
      <c r="B278" s="19">
        <v>45657</v>
      </c>
      <c r="C278" s="20" t="str">
        <f t="shared" si="18"/>
        <v>Dec</v>
      </c>
      <c r="D278" s="20" t="s">
        <v>3</v>
      </c>
      <c r="E278" s="20" t="s">
        <v>39</v>
      </c>
      <c r="F278" s="20" t="s">
        <v>40</v>
      </c>
      <c r="G278" s="20" t="str">
        <f>VLOOKUP(F278,'CUSTOMER INFO'!B3:D10,2,FALSE)</f>
        <v>Shree Medical &amp; General Store</v>
      </c>
      <c r="H278" s="20" t="str">
        <f>VLOOKUP(F278,'CUSTOMER INFO'!B3:D10,3,FALSE)</f>
        <v>Abhijeet Kulkarni</v>
      </c>
      <c r="I278" s="20" t="s">
        <v>56</v>
      </c>
      <c r="J278" s="20" t="s">
        <v>132</v>
      </c>
      <c r="K278" s="19">
        <v>46297</v>
      </c>
      <c r="L278" s="20">
        <v>22</v>
      </c>
      <c r="M278" s="21">
        <v>95</v>
      </c>
      <c r="N278" s="22">
        <f t="shared" si="19"/>
        <v>2090</v>
      </c>
      <c r="O278" s="24" t="str">
        <f t="shared" si="16"/>
        <v>N</v>
      </c>
      <c r="P278" s="21">
        <f t="shared" si="17"/>
        <v>2090</v>
      </c>
    </row>
    <row r="279" spans="1:16">
      <c r="A279" s="18">
        <v>376</v>
      </c>
      <c r="B279" s="19">
        <v>45658</v>
      </c>
      <c r="C279" s="20" t="str">
        <f t="shared" si="18"/>
        <v>Jan</v>
      </c>
      <c r="D279" s="20" t="s">
        <v>8</v>
      </c>
      <c r="E279" s="20" t="s">
        <v>43</v>
      </c>
      <c r="F279" s="20" t="s">
        <v>44</v>
      </c>
      <c r="G279" s="20" t="str">
        <f>VLOOKUP(F279,'CUSTOMER INFO'!B4:D11,2,FALSE)</f>
        <v>JeevanCare Medical Store</v>
      </c>
      <c r="H279" s="20" t="str">
        <f>VLOOKUP(F279,'CUSTOMER INFO'!B4:D11,3,FALSE)</f>
        <v>Neha Patel</v>
      </c>
      <c r="I279" s="20" t="s">
        <v>59</v>
      </c>
      <c r="J279" s="20" t="s">
        <v>133</v>
      </c>
      <c r="K279" s="19">
        <v>46357</v>
      </c>
      <c r="L279" s="20">
        <v>26</v>
      </c>
      <c r="M279" s="21">
        <v>18</v>
      </c>
      <c r="N279" s="22">
        <f t="shared" si="19"/>
        <v>468</v>
      </c>
      <c r="O279" s="24" t="str">
        <f t="shared" si="16"/>
        <v>N</v>
      </c>
      <c r="P279" s="21">
        <f t="shared" si="17"/>
        <v>468</v>
      </c>
    </row>
    <row r="280" spans="1:16">
      <c r="A280" s="18">
        <v>377</v>
      </c>
      <c r="B280" s="19">
        <v>45659</v>
      </c>
      <c r="C280" s="20" t="str">
        <f t="shared" si="18"/>
        <v>Jan</v>
      </c>
      <c r="D280" s="20" t="s">
        <v>5</v>
      </c>
      <c r="E280" s="20" t="s">
        <v>47</v>
      </c>
      <c r="F280" s="20" t="s">
        <v>48</v>
      </c>
      <c r="G280" s="20" t="str">
        <f>VLOOKUP(F280,'CUSTOMER INFO'!B5:D12,2,FALSE)</f>
        <v>Arogya Medical &amp; General</v>
      </c>
      <c r="H280" s="20" t="str">
        <f>VLOOKUP(F280,'CUSTOMER INFO'!B5:D12,3,FALSE)</f>
        <v>Hrishkesh Jadhv</v>
      </c>
      <c r="I280" s="20" t="s">
        <v>62</v>
      </c>
      <c r="J280" s="20" t="s">
        <v>134</v>
      </c>
      <c r="K280" s="19">
        <v>46266</v>
      </c>
      <c r="L280" s="20">
        <v>68</v>
      </c>
      <c r="M280" s="21">
        <v>75</v>
      </c>
      <c r="N280" s="22">
        <f t="shared" si="19"/>
        <v>5100</v>
      </c>
      <c r="O280" s="24" t="str">
        <f t="shared" si="16"/>
        <v>Y</v>
      </c>
      <c r="P280" s="21">
        <f t="shared" si="17"/>
        <v>4845</v>
      </c>
    </row>
    <row r="281" spans="1:16">
      <c r="A281" s="18">
        <v>378</v>
      </c>
      <c r="B281" s="19">
        <v>45660</v>
      </c>
      <c r="C281" s="20" t="str">
        <f t="shared" si="18"/>
        <v>Jan</v>
      </c>
      <c r="D281" s="20" t="s">
        <v>10</v>
      </c>
      <c r="E281" s="20" t="s">
        <v>51</v>
      </c>
      <c r="F281" s="20" t="s">
        <v>52</v>
      </c>
      <c r="G281" s="20" t="str">
        <f>VLOOKUP(F281,'CUSTOMER INFO'!B6:D13,2,FALSE)</f>
        <v>MedEase</v>
      </c>
      <c r="H281" s="20" t="str">
        <f>VLOOKUP(F281,'CUSTOMER INFO'!B6:D13,3,FALSE)</f>
        <v>Siddant Patil</v>
      </c>
      <c r="I281" s="20" t="s">
        <v>65</v>
      </c>
      <c r="J281" s="20" t="s">
        <v>135</v>
      </c>
      <c r="K281" s="19">
        <v>45870</v>
      </c>
      <c r="L281" s="20">
        <v>45</v>
      </c>
      <c r="M281" s="21">
        <v>55</v>
      </c>
      <c r="N281" s="22">
        <f t="shared" si="19"/>
        <v>2475</v>
      </c>
      <c r="O281" s="24" t="str">
        <f t="shared" si="16"/>
        <v>N</v>
      </c>
      <c r="P281" s="21">
        <f t="shared" si="17"/>
        <v>2475</v>
      </c>
    </row>
    <row r="282" spans="1:16">
      <c r="A282" s="18">
        <v>379</v>
      </c>
      <c r="B282" s="19">
        <v>45661</v>
      </c>
      <c r="C282" s="20" t="str">
        <f t="shared" si="18"/>
        <v>Jan</v>
      </c>
      <c r="D282" s="20" t="s">
        <v>4</v>
      </c>
      <c r="E282" s="20" t="s">
        <v>39</v>
      </c>
      <c r="F282" s="20" t="s">
        <v>55</v>
      </c>
      <c r="G282" s="20" t="str">
        <f>VLOOKUP(F282,'CUSTOMER INFO'!B7:D14,2,FALSE)</f>
        <v>CityMed Pharmacy</v>
      </c>
      <c r="H282" s="20" t="str">
        <f>VLOOKUP(F282,'CUSTOMER INFO'!B7:D14,3,FALSE)</f>
        <v>Vikram Shah</v>
      </c>
      <c r="I282" s="20" t="s">
        <v>67</v>
      </c>
      <c r="J282" s="20" t="s">
        <v>136</v>
      </c>
      <c r="K282" s="19">
        <v>46266</v>
      </c>
      <c r="L282" s="20">
        <v>59</v>
      </c>
      <c r="M282" s="21">
        <v>32</v>
      </c>
      <c r="N282" s="22">
        <f t="shared" si="19"/>
        <v>1888</v>
      </c>
      <c r="O282" s="24" t="str">
        <f t="shared" si="16"/>
        <v>N</v>
      </c>
      <c r="P282" s="21">
        <f t="shared" si="17"/>
        <v>1888</v>
      </c>
    </row>
    <row r="283" spans="1:16">
      <c r="A283" s="18">
        <v>380</v>
      </c>
      <c r="B283" s="19">
        <v>45662</v>
      </c>
      <c r="C283" s="20" t="str">
        <f t="shared" si="18"/>
        <v>Jan</v>
      </c>
      <c r="D283" s="20" t="s">
        <v>6</v>
      </c>
      <c r="E283" s="20" t="s">
        <v>43</v>
      </c>
      <c r="F283" s="20" t="s">
        <v>58</v>
      </c>
      <c r="G283" s="20" t="str">
        <f>VLOOKUP(F283,'CUSTOMER INFO'!B8:D15,2,FALSE)</f>
        <v>TrustCare Medicals</v>
      </c>
      <c r="H283" s="20" t="str">
        <f>VLOOKUP(F283,'CUSTOMER INFO'!B8:D15,3,FALSE)</f>
        <v>Pooja Sharma</v>
      </c>
      <c r="I283" s="20" t="s">
        <v>69</v>
      </c>
      <c r="J283" s="20" t="s">
        <v>137</v>
      </c>
      <c r="K283" s="19">
        <v>46357</v>
      </c>
      <c r="L283" s="20">
        <v>45</v>
      </c>
      <c r="M283" s="21">
        <v>90</v>
      </c>
      <c r="N283" s="22">
        <f t="shared" si="19"/>
        <v>4050</v>
      </c>
      <c r="O283" s="24" t="str">
        <f t="shared" si="16"/>
        <v>N</v>
      </c>
      <c r="P283" s="21">
        <f t="shared" si="17"/>
        <v>4050</v>
      </c>
    </row>
    <row r="284" spans="1:16">
      <c r="A284" s="18">
        <v>381</v>
      </c>
      <c r="B284" s="19">
        <v>45663</v>
      </c>
      <c r="C284" s="20" t="str">
        <f t="shared" si="18"/>
        <v>Jan</v>
      </c>
      <c r="D284" s="20" t="s">
        <v>9</v>
      </c>
      <c r="E284" s="20" t="s">
        <v>39</v>
      </c>
      <c r="F284" s="20" t="s">
        <v>61</v>
      </c>
      <c r="G284" s="20" t="str">
        <f>VLOOKUP(F284,'CUSTOMER INFO'!B9:D16,2,FALSE)</f>
        <v>Lifeline Medicals</v>
      </c>
      <c r="H284" s="20" t="str">
        <f>VLOOKUP(F284,'CUSTOMER INFO'!B9:D16,3,FALSE)</f>
        <v>Harshal Singh</v>
      </c>
      <c r="I284" s="20" t="s">
        <v>71</v>
      </c>
      <c r="J284" s="20" t="s">
        <v>138</v>
      </c>
      <c r="K284" s="19">
        <v>46296</v>
      </c>
      <c r="L284" s="20">
        <v>35</v>
      </c>
      <c r="M284" s="21">
        <v>20</v>
      </c>
      <c r="N284" s="22">
        <f t="shared" si="19"/>
        <v>700</v>
      </c>
      <c r="O284" s="24" t="str">
        <f t="shared" si="16"/>
        <v>N</v>
      </c>
      <c r="P284" s="21">
        <f t="shared" si="17"/>
        <v>700</v>
      </c>
    </row>
    <row r="285" spans="1:16">
      <c r="A285" s="18">
        <v>382</v>
      </c>
      <c r="B285" s="19">
        <v>45664</v>
      </c>
      <c r="C285" s="20" t="str">
        <f t="shared" si="18"/>
        <v>Jan</v>
      </c>
      <c r="D285" s="20" t="s">
        <v>7</v>
      </c>
      <c r="E285" s="20" t="s">
        <v>43</v>
      </c>
      <c r="F285" s="20" t="s">
        <v>64</v>
      </c>
      <c r="G285" s="20" t="str">
        <f>VLOOKUP(F285,'CUSTOMER INFO'!B10:D17,2,FALSE)</f>
        <v>CarePlus Medical Store</v>
      </c>
      <c r="H285" s="20" t="str">
        <f>VLOOKUP(F285,'CUSTOMER INFO'!B10:D17,3,FALSE)</f>
        <v>Riya Mishra</v>
      </c>
      <c r="I285" s="20" t="s">
        <v>41</v>
      </c>
      <c r="J285" s="20" t="s">
        <v>139</v>
      </c>
      <c r="K285" s="19">
        <v>46083</v>
      </c>
      <c r="L285" s="20">
        <v>58</v>
      </c>
      <c r="M285" s="21">
        <v>35</v>
      </c>
      <c r="N285" s="22">
        <f t="shared" si="19"/>
        <v>2030</v>
      </c>
      <c r="O285" s="24" t="str">
        <f t="shared" si="16"/>
        <v>N</v>
      </c>
      <c r="P285" s="21">
        <f t="shared" si="17"/>
        <v>2030</v>
      </c>
    </row>
    <row r="286" spans="1:16">
      <c r="A286" s="18">
        <v>383</v>
      </c>
      <c r="B286" s="19">
        <v>45665</v>
      </c>
      <c r="C286" s="20" t="str">
        <f t="shared" si="18"/>
        <v>Jan</v>
      </c>
      <c r="D286" s="20" t="s">
        <v>3</v>
      </c>
      <c r="E286" s="20" t="s">
        <v>47</v>
      </c>
      <c r="F286" s="20" t="s">
        <v>40</v>
      </c>
      <c r="G286" s="20" t="str">
        <f>VLOOKUP(F286,'CUSTOMER INFO'!B3:D9,2,FALSE)</f>
        <v>Shree Medical &amp; General Store</v>
      </c>
      <c r="H286" s="20" t="str">
        <f>VLOOKUP(F286,'CUSTOMER INFO'!B3:D10,3,FALSE)</f>
        <v>Abhijeet Kulkarni</v>
      </c>
      <c r="I286" s="20" t="s">
        <v>45</v>
      </c>
      <c r="J286" s="20" t="s">
        <v>140</v>
      </c>
      <c r="K286" s="19">
        <v>46381</v>
      </c>
      <c r="L286" s="20">
        <v>65</v>
      </c>
      <c r="M286" s="21">
        <v>42</v>
      </c>
      <c r="N286" s="22">
        <f t="shared" si="19"/>
        <v>2730</v>
      </c>
      <c r="O286" s="24" t="str">
        <f t="shared" si="16"/>
        <v>Y</v>
      </c>
      <c r="P286" s="21">
        <f t="shared" si="17"/>
        <v>2593.5</v>
      </c>
    </row>
    <row r="287" spans="1:16">
      <c r="A287" s="18">
        <v>384</v>
      </c>
      <c r="B287" s="19">
        <v>45666</v>
      </c>
      <c r="C287" s="20" t="str">
        <f t="shared" si="18"/>
        <v>Jan</v>
      </c>
      <c r="D287" s="20" t="s">
        <v>8</v>
      </c>
      <c r="E287" s="20" t="s">
        <v>51</v>
      </c>
      <c r="F287" s="20" t="s">
        <v>44</v>
      </c>
      <c r="G287" s="20" t="str">
        <f>VLOOKUP(F287,'CUSTOMER INFO'!B4:D10,2,FALSE)</f>
        <v>JeevanCare Medical Store</v>
      </c>
      <c r="H287" s="20" t="str">
        <f>VLOOKUP(F287,'CUSTOMER INFO'!B4:D11,3,FALSE)</f>
        <v>Neha Patel</v>
      </c>
      <c r="I287" s="20" t="s">
        <v>49</v>
      </c>
      <c r="J287" s="20" t="s">
        <v>141</v>
      </c>
      <c r="K287" s="19">
        <v>46115</v>
      </c>
      <c r="L287" s="20">
        <v>28</v>
      </c>
      <c r="M287" s="21">
        <v>22</v>
      </c>
      <c r="N287" s="22">
        <f t="shared" si="19"/>
        <v>616</v>
      </c>
      <c r="O287" s="24" t="str">
        <f t="shared" si="16"/>
        <v>N</v>
      </c>
      <c r="P287" s="21">
        <f t="shared" si="17"/>
        <v>616</v>
      </c>
    </row>
    <row r="288" spans="1:16">
      <c r="A288" s="18">
        <v>385</v>
      </c>
      <c r="B288" s="19">
        <v>45667</v>
      </c>
      <c r="C288" s="20" t="str">
        <f t="shared" si="18"/>
        <v>Jan</v>
      </c>
      <c r="D288" s="20" t="s">
        <v>5</v>
      </c>
      <c r="E288" s="20" t="s">
        <v>39</v>
      </c>
      <c r="F288" s="20" t="s">
        <v>48</v>
      </c>
      <c r="G288" s="20" t="str">
        <f>VLOOKUP(F288,'CUSTOMER INFO'!B5:D11,2,FALSE)</f>
        <v>Arogya Medical &amp; General</v>
      </c>
      <c r="H288" s="20" t="str">
        <f>VLOOKUP(F288,'CUSTOMER INFO'!B5:D12,3,FALSE)</f>
        <v>Hrishkesh Jadhv</v>
      </c>
      <c r="I288" s="20" t="s">
        <v>53</v>
      </c>
      <c r="J288" s="20" t="s">
        <v>142</v>
      </c>
      <c r="K288" s="19">
        <v>46178</v>
      </c>
      <c r="L288" s="20">
        <v>48</v>
      </c>
      <c r="M288" s="21">
        <v>48</v>
      </c>
      <c r="N288" s="22">
        <f t="shared" si="19"/>
        <v>2304</v>
      </c>
      <c r="O288" s="24" t="str">
        <f t="shared" si="16"/>
        <v>N</v>
      </c>
      <c r="P288" s="21">
        <f t="shared" si="17"/>
        <v>2304</v>
      </c>
    </row>
    <row r="289" spans="1:16">
      <c r="A289" s="18">
        <v>386</v>
      </c>
      <c r="B289" s="19">
        <v>45668</v>
      </c>
      <c r="C289" s="20" t="str">
        <f t="shared" si="18"/>
        <v>Jan</v>
      </c>
      <c r="D289" s="20" t="s">
        <v>10</v>
      </c>
      <c r="E289" s="20" t="s">
        <v>43</v>
      </c>
      <c r="F289" s="20" t="s">
        <v>52</v>
      </c>
      <c r="G289" s="20" t="str">
        <f>VLOOKUP(F289,'CUSTOMER INFO'!B6:D12,2,FALSE)</f>
        <v>MedEase</v>
      </c>
      <c r="H289" s="20" t="str">
        <f>VLOOKUP(F289,'CUSTOMER INFO'!B6:D13,3,FALSE)</f>
        <v>Siddant Patil</v>
      </c>
      <c r="I289" s="20" t="s">
        <v>56</v>
      </c>
      <c r="J289" s="20" t="s">
        <v>143</v>
      </c>
      <c r="K289" s="19">
        <v>46297</v>
      </c>
      <c r="L289" s="20">
        <v>38</v>
      </c>
      <c r="M289" s="21">
        <v>95</v>
      </c>
      <c r="N289" s="22">
        <f t="shared" si="19"/>
        <v>3610</v>
      </c>
      <c r="O289" s="24" t="str">
        <f t="shared" si="16"/>
        <v>N</v>
      </c>
      <c r="P289" s="21">
        <f t="shared" si="17"/>
        <v>3610</v>
      </c>
    </row>
    <row r="290" spans="1:16">
      <c r="A290" s="18">
        <v>387</v>
      </c>
      <c r="B290" s="19">
        <v>45669</v>
      </c>
      <c r="C290" s="20" t="str">
        <f t="shared" si="18"/>
        <v>Jan</v>
      </c>
      <c r="D290" s="20" t="s">
        <v>4</v>
      </c>
      <c r="E290" s="20" t="s">
        <v>47</v>
      </c>
      <c r="F290" s="20" t="s">
        <v>55</v>
      </c>
      <c r="G290" s="20" t="str">
        <f>VLOOKUP(F290,'CUSTOMER INFO'!B7:D13,2,FALSE)</f>
        <v>CityMed Pharmacy</v>
      </c>
      <c r="H290" s="20" t="str">
        <f>VLOOKUP(F290,'CUSTOMER INFO'!B7:D14,3,FALSE)</f>
        <v>Vikram Shah</v>
      </c>
      <c r="I290" s="20" t="s">
        <v>59</v>
      </c>
      <c r="J290" s="20" t="s">
        <v>144</v>
      </c>
      <c r="K290" s="19">
        <v>46357</v>
      </c>
      <c r="L290" s="20">
        <v>48</v>
      </c>
      <c r="M290" s="21">
        <v>18</v>
      </c>
      <c r="N290" s="22">
        <f t="shared" si="19"/>
        <v>864</v>
      </c>
      <c r="O290" s="24" t="str">
        <f t="shared" si="16"/>
        <v>N</v>
      </c>
      <c r="P290" s="21">
        <f t="shared" si="17"/>
        <v>864</v>
      </c>
    </row>
    <row r="291" spans="1:16">
      <c r="A291" s="18">
        <v>388</v>
      </c>
      <c r="B291" s="19">
        <v>45670</v>
      </c>
      <c r="C291" s="20" t="str">
        <f t="shared" si="18"/>
        <v>Jan</v>
      </c>
      <c r="D291" s="20" t="s">
        <v>6</v>
      </c>
      <c r="E291" s="20" t="s">
        <v>51</v>
      </c>
      <c r="F291" s="20" t="s">
        <v>58</v>
      </c>
      <c r="G291" s="20" t="str">
        <f>VLOOKUP(F291,'CUSTOMER INFO'!B8:D14,2,FALSE)</f>
        <v>TrustCare Medicals</v>
      </c>
      <c r="H291" s="20" t="str">
        <f>VLOOKUP(F291,'CUSTOMER INFO'!B8:D15,3,FALSE)</f>
        <v>Pooja Sharma</v>
      </c>
      <c r="I291" s="20" t="s">
        <v>62</v>
      </c>
      <c r="J291" s="20" t="s">
        <v>145</v>
      </c>
      <c r="K291" s="19">
        <v>46266</v>
      </c>
      <c r="L291" s="20">
        <v>58</v>
      </c>
      <c r="M291" s="21">
        <v>75</v>
      </c>
      <c r="N291" s="22">
        <f t="shared" si="19"/>
        <v>4350</v>
      </c>
      <c r="O291" s="24" t="str">
        <f t="shared" si="16"/>
        <v>N</v>
      </c>
      <c r="P291" s="21">
        <f t="shared" si="17"/>
        <v>4350</v>
      </c>
    </row>
    <row r="292" spans="1:16">
      <c r="A292" s="18">
        <v>389</v>
      </c>
      <c r="B292" s="19">
        <v>45671</v>
      </c>
      <c r="C292" s="20" t="str">
        <f t="shared" si="18"/>
        <v>Jan</v>
      </c>
      <c r="D292" s="20" t="s">
        <v>9</v>
      </c>
      <c r="E292" s="20" t="s">
        <v>39</v>
      </c>
      <c r="F292" s="20" t="s">
        <v>61</v>
      </c>
      <c r="G292" s="20" t="str">
        <f>VLOOKUP(F292,'CUSTOMER INFO'!B9:D15,2,FALSE)</f>
        <v>Lifeline Medicals</v>
      </c>
      <c r="H292" s="20" t="str">
        <f>VLOOKUP(F292,'CUSTOMER INFO'!B9:D16,3,FALSE)</f>
        <v>Harshal Singh</v>
      </c>
      <c r="I292" s="20" t="s">
        <v>41</v>
      </c>
      <c r="J292" s="20" t="s">
        <v>139</v>
      </c>
      <c r="K292" s="19">
        <v>45870</v>
      </c>
      <c r="L292" s="20">
        <v>35</v>
      </c>
      <c r="M292" s="21">
        <v>55</v>
      </c>
      <c r="N292" s="22">
        <f t="shared" si="19"/>
        <v>1925</v>
      </c>
      <c r="O292" s="24" t="str">
        <f t="shared" si="16"/>
        <v>N</v>
      </c>
      <c r="P292" s="21">
        <f t="shared" si="17"/>
        <v>1925</v>
      </c>
    </row>
    <row r="293" spans="1:16">
      <c r="A293" s="18">
        <v>390</v>
      </c>
      <c r="B293" s="19">
        <v>45672</v>
      </c>
      <c r="C293" s="20" t="str">
        <f t="shared" si="18"/>
        <v>Jan</v>
      </c>
      <c r="D293" s="20" t="s">
        <v>9</v>
      </c>
      <c r="E293" s="20" t="s">
        <v>43</v>
      </c>
      <c r="F293" s="20" t="s">
        <v>64</v>
      </c>
      <c r="G293" s="20" t="str">
        <f>VLOOKUP(F293,'CUSTOMER INFO'!B10:D16,2,FALSE)</f>
        <v>CarePlus Medical Store</v>
      </c>
      <c r="H293" s="20" t="str">
        <f>VLOOKUP(F293,'CUSTOMER INFO'!B10:D17,3,FALSE)</f>
        <v>Riya Mishra</v>
      </c>
      <c r="I293" s="20" t="s">
        <v>45</v>
      </c>
      <c r="J293" s="20" t="s">
        <v>140</v>
      </c>
      <c r="K293" s="19">
        <v>46266</v>
      </c>
      <c r="L293" s="20">
        <v>22</v>
      </c>
      <c r="M293" s="21">
        <v>32</v>
      </c>
      <c r="N293" s="22">
        <f t="shared" si="19"/>
        <v>704</v>
      </c>
      <c r="O293" s="24" t="str">
        <f t="shared" si="16"/>
        <v>N</v>
      </c>
      <c r="P293" s="21">
        <f t="shared" si="17"/>
        <v>704</v>
      </c>
    </row>
    <row r="294" spans="1:16">
      <c r="A294" s="18">
        <v>391</v>
      </c>
      <c r="B294" s="19">
        <v>45673</v>
      </c>
      <c r="C294" s="20" t="str">
        <f t="shared" si="18"/>
        <v>Jan</v>
      </c>
      <c r="D294" s="20" t="s">
        <v>7</v>
      </c>
      <c r="E294" s="20" t="s">
        <v>47</v>
      </c>
      <c r="F294" s="20" t="s">
        <v>40</v>
      </c>
      <c r="G294" s="20" t="str">
        <f>VLOOKUP(F294,'CUSTOMER INFO'!B3:D10,2,FALSE)</f>
        <v>Shree Medical &amp; General Store</v>
      </c>
      <c r="H294" s="20" t="str">
        <f>VLOOKUP(F294,'CUSTOMER INFO'!B3:D10,3,FALSE)</f>
        <v>Abhijeet Kulkarni</v>
      </c>
      <c r="I294" s="20" t="s">
        <v>49</v>
      </c>
      <c r="J294" s="20" t="s">
        <v>141</v>
      </c>
      <c r="K294" s="19">
        <v>46357</v>
      </c>
      <c r="L294" s="20">
        <v>26</v>
      </c>
      <c r="M294" s="21">
        <v>90</v>
      </c>
      <c r="N294" s="22">
        <f t="shared" si="19"/>
        <v>2340</v>
      </c>
      <c r="O294" s="24" t="str">
        <f t="shared" si="16"/>
        <v>N</v>
      </c>
      <c r="P294" s="21">
        <f t="shared" si="17"/>
        <v>2340</v>
      </c>
    </row>
    <row r="295" spans="1:16">
      <c r="A295" s="18">
        <v>392</v>
      </c>
      <c r="B295" s="19">
        <v>45674</v>
      </c>
      <c r="C295" s="20" t="str">
        <f t="shared" si="18"/>
        <v>Jan</v>
      </c>
      <c r="D295" s="20" t="s">
        <v>3</v>
      </c>
      <c r="E295" s="20" t="s">
        <v>51</v>
      </c>
      <c r="F295" s="20" t="s">
        <v>44</v>
      </c>
      <c r="G295" s="20" t="str">
        <f>VLOOKUP(F295,'CUSTOMER INFO'!B4:D11,2,FALSE)</f>
        <v>JeevanCare Medical Store</v>
      </c>
      <c r="H295" s="20" t="str">
        <f>VLOOKUP(F295,'CUSTOMER INFO'!B4:D11,3,FALSE)</f>
        <v>Neha Patel</v>
      </c>
      <c r="I295" s="20" t="s">
        <v>53</v>
      </c>
      <c r="J295" s="20" t="s">
        <v>142</v>
      </c>
      <c r="K295" s="19">
        <v>46296</v>
      </c>
      <c r="L295" s="20">
        <v>68</v>
      </c>
      <c r="M295" s="21">
        <v>20</v>
      </c>
      <c r="N295" s="22">
        <f t="shared" si="19"/>
        <v>1360</v>
      </c>
      <c r="O295" s="24" t="str">
        <f t="shared" si="16"/>
        <v>Y</v>
      </c>
      <c r="P295" s="21">
        <f t="shared" si="17"/>
        <v>1292</v>
      </c>
    </row>
    <row r="296" spans="1:16">
      <c r="A296" s="18">
        <v>393</v>
      </c>
      <c r="B296" s="19">
        <v>45675</v>
      </c>
      <c r="C296" s="20" t="str">
        <f t="shared" si="18"/>
        <v>Jan</v>
      </c>
      <c r="D296" s="20" t="s">
        <v>8</v>
      </c>
      <c r="E296" s="20" t="s">
        <v>39</v>
      </c>
      <c r="F296" s="20" t="s">
        <v>48</v>
      </c>
      <c r="G296" s="20" t="str">
        <f>VLOOKUP(F296,'CUSTOMER INFO'!B5:D12,2,FALSE)</f>
        <v>Arogya Medical &amp; General</v>
      </c>
      <c r="H296" s="20" t="str">
        <f>VLOOKUP(F296,'CUSTOMER INFO'!B5:D12,3,FALSE)</f>
        <v>Hrishkesh Jadhv</v>
      </c>
      <c r="I296" s="20" t="s">
        <v>56</v>
      </c>
      <c r="J296" s="20" t="s">
        <v>143</v>
      </c>
      <c r="K296" s="19">
        <v>46083</v>
      </c>
      <c r="L296" s="20">
        <v>45</v>
      </c>
      <c r="M296" s="21">
        <v>35</v>
      </c>
      <c r="N296" s="22">
        <f t="shared" si="19"/>
        <v>1575</v>
      </c>
      <c r="O296" s="24" t="str">
        <f t="shared" si="16"/>
        <v>N</v>
      </c>
      <c r="P296" s="21">
        <f t="shared" si="17"/>
        <v>1575</v>
      </c>
    </row>
    <row r="297" spans="1:16">
      <c r="A297" s="18">
        <v>394</v>
      </c>
      <c r="B297" s="19">
        <v>45676</v>
      </c>
      <c r="C297" s="20" t="str">
        <f t="shared" si="18"/>
        <v>Jan</v>
      </c>
      <c r="D297" s="20" t="s">
        <v>5</v>
      </c>
      <c r="E297" s="20" t="s">
        <v>43</v>
      </c>
      <c r="F297" s="20" t="s">
        <v>52</v>
      </c>
      <c r="G297" s="20" t="str">
        <f>VLOOKUP(F297,'CUSTOMER INFO'!B6:D13,2,FALSE)</f>
        <v>MedEase</v>
      </c>
      <c r="H297" s="20" t="str">
        <f>VLOOKUP(F297,'CUSTOMER INFO'!B6:D13,3,FALSE)</f>
        <v>Siddant Patil</v>
      </c>
      <c r="I297" s="20" t="s">
        <v>59</v>
      </c>
      <c r="J297" s="20" t="s">
        <v>144</v>
      </c>
      <c r="K297" s="19">
        <v>46381</v>
      </c>
      <c r="L297" s="20">
        <v>59</v>
      </c>
      <c r="M297" s="21">
        <v>42</v>
      </c>
      <c r="N297" s="22">
        <f t="shared" si="19"/>
        <v>2478</v>
      </c>
      <c r="O297" s="24" t="str">
        <f t="shared" si="16"/>
        <v>N</v>
      </c>
      <c r="P297" s="21">
        <f t="shared" si="17"/>
        <v>2478</v>
      </c>
    </row>
    <row r="298" spans="1:16">
      <c r="A298" s="18">
        <v>395</v>
      </c>
      <c r="B298" s="19">
        <v>45677</v>
      </c>
      <c r="C298" s="20" t="str">
        <f t="shared" si="18"/>
        <v>Jan</v>
      </c>
      <c r="D298" s="20" t="s">
        <v>10</v>
      </c>
      <c r="E298" s="20" t="s">
        <v>39</v>
      </c>
      <c r="F298" s="20" t="s">
        <v>55</v>
      </c>
      <c r="G298" s="20" t="str">
        <f>VLOOKUP(F298,'CUSTOMER INFO'!B7:D14,2,FALSE)</f>
        <v>CityMed Pharmacy</v>
      </c>
      <c r="H298" s="20" t="str">
        <f>VLOOKUP(F298,'CUSTOMER INFO'!B7:D14,3,FALSE)</f>
        <v>Vikram Shah</v>
      </c>
      <c r="I298" s="20" t="s">
        <v>62</v>
      </c>
      <c r="J298" s="20" t="s">
        <v>145</v>
      </c>
      <c r="K298" s="19">
        <v>46115</v>
      </c>
      <c r="L298" s="20">
        <v>45</v>
      </c>
      <c r="M298" s="21">
        <v>22</v>
      </c>
      <c r="N298" s="22">
        <f t="shared" si="19"/>
        <v>990</v>
      </c>
      <c r="O298" s="24" t="str">
        <f t="shared" si="16"/>
        <v>N</v>
      </c>
      <c r="P298" s="21">
        <f t="shared" si="17"/>
        <v>990</v>
      </c>
    </row>
    <row r="299" spans="1:16">
      <c r="A299" s="18">
        <v>396</v>
      </c>
      <c r="B299" s="19">
        <v>45678</v>
      </c>
      <c r="C299" s="20" t="str">
        <f t="shared" si="18"/>
        <v>Jan</v>
      </c>
      <c r="D299" s="20" t="s">
        <v>4</v>
      </c>
      <c r="E299" s="20" t="s">
        <v>43</v>
      </c>
      <c r="F299" s="20" t="s">
        <v>58</v>
      </c>
      <c r="G299" s="20" t="str">
        <f>VLOOKUP(F299,'CUSTOMER INFO'!B8:D15,2,FALSE)</f>
        <v>TrustCare Medicals</v>
      </c>
      <c r="H299" s="20" t="str">
        <f>VLOOKUP(F299,'CUSTOMER INFO'!B8:D15,3,FALSE)</f>
        <v>Pooja Sharma</v>
      </c>
      <c r="I299" s="20" t="s">
        <v>65</v>
      </c>
      <c r="J299" s="20" t="s">
        <v>146</v>
      </c>
      <c r="K299" s="19">
        <v>46178</v>
      </c>
      <c r="L299" s="20">
        <v>35</v>
      </c>
      <c r="M299" s="21">
        <v>48</v>
      </c>
      <c r="N299" s="22">
        <f t="shared" si="19"/>
        <v>1680</v>
      </c>
      <c r="O299" s="24" t="str">
        <f t="shared" si="16"/>
        <v>N</v>
      </c>
      <c r="P299" s="21">
        <f t="shared" si="17"/>
        <v>1680</v>
      </c>
    </row>
    <row r="300" spans="1:16">
      <c r="A300" s="18">
        <v>397</v>
      </c>
      <c r="B300" s="19">
        <v>45679</v>
      </c>
      <c r="C300" s="20" t="str">
        <f t="shared" si="18"/>
        <v>Jan</v>
      </c>
      <c r="D300" s="20" t="s">
        <v>6</v>
      </c>
      <c r="E300" s="20" t="s">
        <v>47</v>
      </c>
      <c r="F300" s="20" t="s">
        <v>61</v>
      </c>
      <c r="G300" s="20" t="str">
        <f>VLOOKUP(F300,'CUSTOMER INFO'!B9:D16,2,FALSE)</f>
        <v>Lifeline Medicals</v>
      </c>
      <c r="H300" s="20" t="str">
        <f>VLOOKUP(F300,'CUSTOMER INFO'!B9:D16,3,FALSE)</f>
        <v>Harshal Singh</v>
      </c>
      <c r="I300" s="20" t="s">
        <v>67</v>
      </c>
      <c r="J300" s="20" t="s">
        <v>147</v>
      </c>
      <c r="K300" s="19">
        <v>46297</v>
      </c>
      <c r="L300" s="20">
        <v>58</v>
      </c>
      <c r="M300" s="21">
        <v>95</v>
      </c>
      <c r="N300" s="22">
        <f t="shared" si="19"/>
        <v>5510</v>
      </c>
      <c r="O300" s="24" t="str">
        <f t="shared" si="16"/>
        <v>N</v>
      </c>
      <c r="P300" s="21">
        <f t="shared" si="17"/>
        <v>5510</v>
      </c>
    </row>
    <row r="301" spans="1:16">
      <c r="A301" s="18">
        <v>398</v>
      </c>
      <c r="B301" s="19">
        <v>45680</v>
      </c>
      <c r="C301" s="20" t="str">
        <f t="shared" si="18"/>
        <v>Jan</v>
      </c>
      <c r="D301" s="20" t="s">
        <v>9</v>
      </c>
      <c r="E301" s="20" t="s">
        <v>51</v>
      </c>
      <c r="F301" s="20" t="s">
        <v>64</v>
      </c>
      <c r="G301" s="20" t="str">
        <f>VLOOKUP(F301,'CUSTOMER INFO'!B10:D17,2,FALSE)</f>
        <v>CarePlus Medical Store</v>
      </c>
      <c r="H301" s="20" t="str">
        <f>VLOOKUP(F301,'CUSTOMER INFO'!B10:D17,3,FALSE)</f>
        <v>Riya Mishra</v>
      </c>
      <c r="I301" s="20" t="s">
        <v>69</v>
      </c>
      <c r="J301" s="20" t="s">
        <v>148</v>
      </c>
      <c r="K301" s="19">
        <v>46357</v>
      </c>
      <c r="L301" s="20">
        <v>65</v>
      </c>
      <c r="M301" s="21">
        <v>18</v>
      </c>
      <c r="N301" s="22">
        <f t="shared" si="19"/>
        <v>1170</v>
      </c>
      <c r="O301" s="24" t="str">
        <f t="shared" si="16"/>
        <v>Y</v>
      </c>
      <c r="P301" s="21">
        <f t="shared" si="17"/>
        <v>1111.5</v>
      </c>
    </row>
    <row r="302" spans="1:16">
      <c r="A302" s="18">
        <v>399</v>
      </c>
      <c r="B302" s="19">
        <v>45681</v>
      </c>
      <c r="C302" s="20" t="str">
        <f t="shared" si="18"/>
        <v>Jan</v>
      </c>
      <c r="D302" s="20" t="s">
        <v>7</v>
      </c>
      <c r="E302" s="20" t="s">
        <v>39</v>
      </c>
      <c r="F302" s="20" t="s">
        <v>40</v>
      </c>
      <c r="G302" s="20" t="str">
        <f>VLOOKUP(F302,'CUSTOMER INFO'!B3:D10,2,FALSE)</f>
        <v>Shree Medical &amp; General Store</v>
      </c>
      <c r="H302" s="20" t="str">
        <f>VLOOKUP(F302,'CUSTOMER INFO'!B3:D10,3,FALSE)</f>
        <v>Abhijeet Kulkarni</v>
      </c>
      <c r="I302" s="20" t="s">
        <v>71</v>
      </c>
      <c r="J302" s="20" t="s">
        <v>149</v>
      </c>
      <c r="K302" s="19">
        <v>46266</v>
      </c>
      <c r="L302" s="20">
        <v>28</v>
      </c>
      <c r="M302" s="21">
        <v>75</v>
      </c>
      <c r="N302" s="22">
        <f t="shared" si="19"/>
        <v>2100</v>
      </c>
      <c r="O302" s="24" t="str">
        <f t="shared" si="16"/>
        <v>N</v>
      </c>
      <c r="P302" s="21">
        <f t="shared" si="17"/>
        <v>2100</v>
      </c>
    </row>
    <row r="303" spans="1:16">
      <c r="A303" s="18">
        <v>400</v>
      </c>
      <c r="B303" s="19">
        <v>45682</v>
      </c>
      <c r="C303" s="20" t="str">
        <f t="shared" si="18"/>
        <v>Jan</v>
      </c>
      <c r="D303" s="20" t="s">
        <v>3</v>
      </c>
      <c r="E303" s="20" t="s">
        <v>43</v>
      </c>
      <c r="F303" s="20" t="s">
        <v>44</v>
      </c>
      <c r="G303" s="20" t="str">
        <f>VLOOKUP(F303,'CUSTOMER INFO'!B4:D11,2,FALSE)</f>
        <v>JeevanCare Medical Store</v>
      </c>
      <c r="H303" s="20" t="str">
        <f>VLOOKUP(F303,'CUSTOMER INFO'!B4:D11,3,FALSE)</f>
        <v>Neha Patel</v>
      </c>
      <c r="I303" s="20" t="s">
        <v>41</v>
      </c>
      <c r="J303" s="20" t="s">
        <v>150</v>
      </c>
      <c r="K303" s="19">
        <v>45870</v>
      </c>
      <c r="L303" s="20">
        <v>48</v>
      </c>
      <c r="M303" s="21">
        <v>55</v>
      </c>
      <c r="N303" s="22">
        <f t="shared" si="19"/>
        <v>2640</v>
      </c>
      <c r="O303" s="24" t="str">
        <f t="shared" si="16"/>
        <v>N</v>
      </c>
      <c r="P303" s="21">
        <f t="shared" si="17"/>
        <v>2640</v>
      </c>
    </row>
    <row r="304" spans="1:16">
      <c r="A304" s="18">
        <v>401</v>
      </c>
      <c r="B304" s="19">
        <v>45683</v>
      </c>
      <c r="C304" s="20" t="str">
        <f t="shared" si="18"/>
        <v>Jan</v>
      </c>
      <c r="D304" s="20" t="s">
        <v>8</v>
      </c>
      <c r="E304" s="20" t="s">
        <v>47</v>
      </c>
      <c r="F304" s="20" t="s">
        <v>48</v>
      </c>
      <c r="G304" s="20" t="str">
        <f>VLOOKUP(F304,'CUSTOMER INFO'!B5:D12,2,FALSE)</f>
        <v>Arogya Medical &amp; General</v>
      </c>
      <c r="H304" s="20" t="str">
        <f>VLOOKUP(F304,'CUSTOMER INFO'!B5:D12,3,FALSE)</f>
        <v>Hrishkesh Jadhv</v>
      </c>
      <c r="I304" s="20" t="s">
        <v>45</v>
      </c>
      <c r="J304" s="20" t="s">
        <v>151</v>
      </c>
      <c r="K304" s="19">
        <v>46266</v>
      </c>
      <c r="L304" s="20">
        <v>38</v>
      </c>
      <c r="M304" s="21">
        <v>32</v>
      </c>
      <c r="N304" s="22">
        <f t="shared" si="19"/>
        <v>1216</v>
      </c>
      <c r="O304" s="24" t="str">
        <f t="shared" si="16"/>
        <v>N</v>
      </c>
      <c r="P304" s="21">
        <f t="shared" si="17"/>
        <v>1216</v>
      </c>
    </row>
    <row r="305" spans="1:16">
      <c r="A305" s="18">
        <v>402</v>
      </c>
      <c r="B305" s="19">
        <v>45684</v>
      </c>
      <c r="C305" s="20" t="str">
        <f t="shared" si="18"/>
        <v>Jan</v>
      </c>
      <c r="D305" s="20" t="s">
        <v>5</v>
      </c>
      <c r="E305" s="20" t="s">
        <v>51</v>
      </c>
      <c r="F305" s="20" t="s">
        <v>52</v>
      </c>
      <c r="G305" s="20" t="str">
        <f>VLOOKUP(F305,'CUSTOMER INFO'!B6:D13,2,FALSE)</f>
        <v>MedEase</v>
      </c>
      <c r="H305" s="20" t="str">
        <f>VLOOKUP(F305,'CUSTOMER INFO'!B6:D13,3,FALSE)</f>
        <v>Siddant Patil</v>
      </c>
      <c r="I305" s="20" t="s">
        <v>49</v>
      </c>
      <c r="J305" s="20" t="s">
        <v>152</v>
      </c>
      <c r="K305" s="19">
        <v>46357</v>
      </c>
      <c r="L305" s="20">
        <v>48</v>
      </c>
      <c r="M305" s="21">
        <v>90</v>
      </c>
      <c r="N305" s="22">
        <f t="shared" si="19"/>
        <v>4320</v>
      </c>
      <c r="O305" s="24" t="str">
        <f t="shared" si="16"/>
        <v>N</v>
      </c>
      <c r="P305" s="21">
        <f t="shared" si="17"/>
        <v>4320</v>
      </c>
    </row>
    <row r="306" spans="1:16">
      <c r="A306" s="18">
        <v>403</v>
      </c>
      <c r="B306" s="19">
        <v>45685</v>
      </c>
      <c r="C306" s="20" t="str">
        <f t="shared" si="18"/>
        <v>Jan</v>
      </c>
      <c r="D306" s="20" t="s">
        <v>10</v>
      </c>
      <c r="E306" s="20" t="s">
        <v>39</v>
      </c>
      <c r="F306" s="20" t="s">
        <v>55</v>
      </c>
      <c r="G306" s="20" t="str">
        <f>VLOOKUP(F306,'CUSTOMER INFO'!B7:D14,2,FALSE)</f>
        <v>CityMed Pharmacy</v>
      </c>
      <c r="H306" s="20" t="str">
        <f>VLOOKUP(F306,'CUSTOMER INFO'!B7:D14,3,FALSE)</f>
        <v>Vikram Shah</v>
      </c>
      <c r="I306" s="20" t="s">
        <v>53</v>
      </c>
      <c r="J306" s="20" t="s">
        <v>153</v>
      </c>
      <c r="K306" s="19">
        <v>46296</v>
      </c>
      <c r="L306" s="20">
        <v>58</v>
      </c>
      <c r="M306" s="21">
        <v>20</v>
      </c>
      <c r="N306" s="22">
        <f t="shared" si="19"/>
        <v>1160</v>
      </c>
      <c r="O306" s="24" t="str">
        <f t="shared" si="16"/>
        <v>N</v>
      </c>
      <c r="P306" s="21">
        <f t="shared" si="17"/>
        <v>1160</v>
      </c>
    </row>
    <row r="307" spans="1:16">
      <c r="A307" s="18">
        <v>404</v>
      </c>
      <c r="B307" s="19">
        <v>45686</v>
      </c>
      <c r="C307" s="20" t="str">
        <f t="shared" si="18"/>
        <v>Jan</v>
      </c>
      <c r="D307" s="20" t="s">
        <v>4</v>
      </c>
      <c r="E307" s="20" t="s">
        <v>43</v>
      </c>
      <c r="F307" s="20" t="s">
        <v>58</v>
      </c>
      <c r="G307" s="20" t="str">
        <f>VLOOKUP(F307,'CUSTOMER INFO'!B8:D15,2,FALSE)</f>
        <v>TrustCare Medicals</v>
      </c>
      <c r="H307" s="20" t="str">
        <f>VLOOKUP(F307,'CUSTOMER INFO'!B8:D15,3,FALSE)</f>
        <v>Pooja Sharma</v>
      </c>
      <c r="I307" s="20" t="s">
        <v>56</v>
      </c>
      <c r="J307" s="20" t="s">
        <v>154</v>
      </c>
      <c r="K307" s="19">
        <v>46083</v>
      </c>
      <c r="L307" s="20">
        <v>35</v>
      </c>
      <c r="M307" s="21">
        <v>35</v>
      </c>
      <c r="N307" s="22">
        <f t="shared" si="19"/>
        <v>1225</v>
      </c>
      <c r="O307" s="24" t="str">
        <f t="shared" si="16"/>
        <v>N</v>
      </c>
      <c r="P307" s="21">
        <f t="shared" si="17"/>
        <v>1225</v>
      </c>
    </row>
    <row r="308" spans="1:16">
      <c r="A308" s="18">
        <v>405</v>
      </c>
      <c r="B308" s="19">
        <v>45687</v>
      </c>
      <c r="C308" s="20" t="str">
        <f t="shared" si="18"/>
        <v>Jan</v>
      </c>
      <c r="D308" s="20" t="s">
        <v>6</v>
      </c>
      <c r="E308" s="20" t="s">
        <v>47</v>
      </c>
      <c r="F308" s="20" t="s">
        <v>61</v>
      </c>
      <c r="G308" s="20" t="str">
        <f>VLOOKUP(F308,'CUSTOMER INFO'!B9:D16,2,FALSE)</f>
        <v>Lifeline Medicals</v>
      </c>
      <c r="H308" s="20" t="str">
        <f>VLOOKUP(F308,'CUSTOMER INFO'!B9:D16,3,FALSE)</f>
        <v>Harshal Singh</v>
      </c>
      <c r="I308" s="20" t="s">
        <v>59</v>
      </c>
      <c r="J308" s="20" t="s">
        <v>155</v>
      </c>
      <c r="K308" s="19">
        <v>46381</v>
      </c>
      <c r="L308" s="20">
        <v>22</v>
      </c>
      <c r="M308" s="21">
        <v>42</v>
      </c>
      <c r="N308" s="22">
        <f t="shared" si="19"/>
        <v>924</v>
      </c>
      <c r="O308" s="24" t="str">
        <f t="shared" si="16"/>
        <v>N</v>
      </c>
      <c r="P308" s="21">
        <f t="shared" si="17"/>
        <v>924</v>
      </c>
    </row>
    <row r="309" spans="1:16">
      <c r="A309" s="18">
        <v>406</v>
      </c>
      <c r="B309" s="19">
        <v>45688</v>
      </c>
      <c r="C309" s="20" t="str">
        <f t="shared" si="18"/>
        <v>Jan</v>
      </c>
      <c r="D309" s="20" t="s">
        <v>9</v>
      </c>
      <c r="E309" s="20" t="s">
        <v>51</v>
      </c>
      <c r="F309" s="20" t="s">
        <v>64</v>
      </c>
      <c r="G309" s="20" t="str">
        <f>VLOOKUP(F309,'CUSTOMER INFO'!B10:D17,2,FALSE)</f>
        <v>CarePlus Medical Store</v>
      </c>
      <c r="H309" s="20" t="str">
        <f>VLOOKUP(F309,'CUSTOMER INFO'!B10:D17,3,FALSE)</f>
        <v>Riya Mishra</v>
      </c>
      <c r="I309" s="20" t="s">
        <v>62</v>
      </c>
      <c r="J309" s="20" t="s">
        <v>156</v>
      </c>
      <c r="K309" s="19">
        <v>46115</v>
      </c>
      <c r="L309" s="20">
        <v>26</v>
      </c>
      <c r="M309" s="21">
        <v>22</v>
      </c>
      <c r="N309" s="22">
        <f t="shared" si="19"/>
        <v>572</v>
      </c>
      <c r="O309" s="24" t="str">
        <f t="shared" si="16"/>
        <v>N</v>
      </c>
      <c r="P309" s="21">
        <f t="shared" si="17"/>
        <v>572</v>
      </c>
    </row>
    <row r="310" spans="1:16">
      <c r="A310" s="18">
        <v>407</v>
      </c>
      <c r="B310" s="19">
        <v>45689</v>
      </c>
      <c r="C310" s="20" t="str">
        <f t="shared" si="18"/>
        <v>Feb</v>
      </c>
      <c r="D310" s="20" t="s">
        <v>9</v>
      </c>
      <c r="E310" s="20" t="s">
        <v>39</v>
      </c>
      <c r="F310" s="20" t="s">
        <v>40</v>
      </c>
      <c r="G310" s="20" t="str">
        <f>VLOOKUP(F310,'CUSTOMER INFO'!B3:D10,2,FALSE)</f>
        <v>Shree Medical &amp; General Store</v>
      </c>
      <c r="H310" s="20" t="str">
        <f>VLOOKUP(F310,'CUSTOMER INFO'!B3:D10,3,FALSE)</f>
        <v>Abhijeet Kulkarni</v>
      </c>
      <c r="I310" s="20" t="s">
        <v>41</v>
      </c>
      <c r="J310" s="20" t="s">
        <v>150</v>
      </c>
      <c r="K310" s="19">
        <v>46178</v>
      </c>
      <c r="L310" s="20">
        <v>68</v>
      </c>
      <c r="M310" s="21">
        <v>48</v>
      </c>
      <c r="N310" s="22">
        <f t="shared" si="19"/>
        <v>3264</v>
      </c>
      <c r="O310" s="24" t="str">
        <f t="shared" si="16"/>
        <v>Y</v>
      </c>
      <c r="P310" s="21">
        <f t="shared" si="17"/>
        <v>3100.7999999999997</v>
      </c>
    </row>
    <row r="311" spans="1:16">
      <c r="A311" s="18">
        <v>408</v>
      </c>
      <c r="B311" s="19">
        <v>45690</v>
      </c>
      <c r="C311" s="20" t="str">
        <f t="shared" si="18"/>
        <v>Feb</v>
      </c>
      <c r="D311" s="20" t="s">
        <v>7</v>
      </c>
      <c r="E311" s="20" t="s">
        <v>43</v>
      </c>
      <c r="F311" s="20" t="s">
        <v>44</v>
      </c>
      <c r="G311" s="20" t="str">
        <f>VLOOKUP(F311,'CUSTOMER INFO'!B4:D11,2,FALSE)</f>
        <v>JeevanCare Medical Store</v>
      </c>
      <c r="H311" s="20" t="str">
        <f>VLOOKUP(F311,'CUSTOMER INFO'!B4:D11,3,FALSE)</f>
        <v>Neha Patel</v>
      </c>
      <c r="I311" s="20" t="s">
        <v>45</v>
      </c>
      <c r="J311" s="20" t="s">
        <v>151</v>
      </c>
      <c r="K311" s="19">
        <v>46297</v>
      </c>
      <c r="L311" s="20">
        <v>45</v>
      </c>
      <c r="M311" s="21">
        <v>95</v>
      </c>
      <c r="N311" s="22">
        <f t="shared" si="19"/>
        <v>4275</v>
      </c>
      <c r="O311" s="24" t="str">
        <f t="shared" si="16"/>
        <v>N</v>
      </c>
      <c r="P311" s="21">
        <f t="shared" si="17"/>
        <v>4275</v>
      </c>
    </row>
    <row r="312" spans="1:16">
      <c r="A312" s="18">
        <v>409</v>
      </c>
      <c r="B312" s="19">
        <v>45691</v>
      </c>
      <c r="C312" s="20" t="str">
        <f t="shared" si="18"/>
        <v>Feb</v>
      </c>
      <c r="D312" s="20" t="s">
        <v>3</v>
      </c>
      <c r="E312" s="20" t="s">
        <v>47</v>
      </c>
      <c r="F312" s="20" t="s">
        <v>48</v>
      </c>
      <c r="G312" s="20" t="str">
        <f>VLOOKUP(F312,'CUSTOMER INFO'!B5:D12,2,FALSE)</f>
        <v>Arogya Medical &amp; General</v>
      </c>
      <c r="H312" s="20" t="str">
        <f>VLOOKUP(F312,'CUSTOMER INFO'!B5:D12,3,FALSE)</f>
        <v>Hrishkesh Jadhv</v>
      </c>
      <c r="I312" s="20" t="s">
        <v>49</v>
      </c>
      <c r="J312" s="20" t="s">
        <v>152</v>
      </c>
      <c r="K312" s="19">
        <v>46357</v>
      </c>
      <c r="L312" s="20">
        <v>59</v>
      </c>
      <c r="M312" s="21">
        <v>18</v>
      </c>
      <c r="N312" s="22">
        <f t="shared" si="19"/>
        <v>1062</v>
      </c>
      <c r="O312" s="24" t="str">
        <f t="shared" si="16"/>
        <v>N</v>
      </c>
      <c r="P312" s="21">
        <f t="shared" si="17"/>
        <v>1062</v>
      </c>
    </row>
    <row r="313" spans="1:16">
      <c r="A313" s="18">
        <v>410</v>
      </c>
      <c r="B313" s="19">
        <v>45692</v>
      </c>
      <c r="C313" s="20" t="str">
        <f t="shared" si="18"/>
        <v>Feb</v>
      </c>
      <c r="D313" s="20" t="s">
        <v>8</v>
      </c>
      <c r="E313" s="20" t="s">
        <v>51</v>
      </c>
      <c r="F313" s="20" t="s">
        <v>52</v>
      </c>
      <c r="G313" s="20" t="str">
        <f>VLOOKUP(F313,'CUSTOMER INFO'!B6:D13,2,FALSE)</f>
        <v>MedEase</v>
      </c>
      <c r="H313" s="20" t="str">
        <f>VLOOKUP(F313,'CUSTOMER INFO'!B6:D13,3,FALSE)</f>
        <v>Siddant Patil</v>
      </c>
      <c r="I313" s="20" t="s">
        <v>53</v>
      </c>
      <c r="J313" s="20" t="s">
        <v>153</v>
      </c>
      <c r="K313" s="19">
        <v>46266</v>
      </c>
      <c r="L313" s="20">
        <v>45</v>
      </c>
      <c r="M313" s="21">
        <v>75</v>
      </c>
      <c r="N313" s="22">
        <f t="shared" si="19"/>
        <v>3375</v>
      </c>
      <c r="O313" s="24" t="str">
        <f t="shared" si="16"/>
        <v>N</v>
      </c>
      <c r="P313" s="21">
        <f t="shared" si="17"/>
        <v>3375</v>
      </c>
    </row>
    <row r="314" spans="1:16">
      <c r="A314" s="18">
        <v>411</v>
      </c>
      <c r="B314" s="19">
        <v>45693</v>
      </c>
      <c r="C314" s="20" t="str">
        <f t="shared" si="18"/>
        <v>Feb</v>
      </c>
      <c r="D314" s="20" t="s">
        <v>5</v>
      </c>
      <c r="E314" s="20" t="s">
        <v>39</v>
      </c>
      <c r="F314" s="20" t="s">
        <v>55</v>
      </c>
      <c r="G314" s="20" t="str">
        <f>VLOOKUP(F314,'CUSTOMER INFO'!B7:D14,2,FALSE)</f>
        <v>CityMed Pharmacy</v>
      </c>
      <c r="H314" s="20" t="str">
        <f>VLOOKUP(F314,'CUSTOMER INFO'!B7:D14,3,FALSE)</f>
        <v>Vikram Shah</v>
      </c>
      <c r="I314" s="20" t="s">
        <v>56</v>
      </c>
      <c r="J314" s="20" t="s">
        <v>154</v>
      </c>
      <c r="K314" s="19">
        <v>45870</v>
      </c>
      <c r="L314" s="20">
        <v>35</v>
      </c>
      <c r="M314" s="21">
        <v>55</v>
      </c>
      <c r="N314" s="22">
        <f t="shared" si="19"/>
        <v>1925</v>
      </c>
      <c r="O314" s="24" t="str">
        <f t="shared" si="16"/>
        <v>N</v>
      </c>
      <c r="P314" s="21">
        <f t="shared" si="17"/>
        <v>1925</v>
      </c>
    </row>
    <row r="315" spans="1:16">
      <c r="A315" s="18">
        <v>412</v>
      </c>
      <c r="B315" s="19">
        <v>45694</v>
      </c>
      <c r="C315" s="20" t="str">
        <f t="shared" si="18"/>
        <v>Feb</v>
      </c>
      <c r="D315" s="20" t="s">
        <v>10</v>
      </c>
      <c r="E315" s="20" t="s">
        <v>43</v>
      </c>
      <c r="F315" s="20" t="s">
        <v>58</v>
      </c>
      <c r="G315" s="20" t="str">
        <f>VLOOKUP(F315,'CUSTOMER INFO'!B8:D15,2,FALSE)</f>
        <v>TrustCare Medicals</v>
      </c>
      <c r="H315" s="20" t="str">
        <f>VLOOKUP(F315,'CUSTOMER INFO'!B8:D15,3,FALSE)</f>
        <v>Pooja Sharma</v>
      </c>
      <c r="I315" s="20" t="s">
        <v>59</v>
      </c>
      <c r="J315" s="20" t="s">
        <v>155</v>
      </c>
      <c r="K315" s="19">
        <v>46266</v>
      </c>
      <c r="L315" s="20">
        <v>58</v>
      </c>
      <c r="M315" s="21">
        <v>32</v>
      </c>
      <c r="N315" s="22">
        <f t="shared" si="19"/>
        <v>1856</v>
      </c>
      <c r="O315" s="24" t="str">
        <f t="shared" si="16"/>
        <v>N</v>
      </c>
      <c r="P315" s="21">
        <f t="shared" si="17"/>
        <v>1856</v>
      </c>
    </row>
    <row r="316" spans="1:16">
      <c r="A316" s="18">
        <v>413</v>
      </c>
      <c r="B316" s="19">
        <v>45695</v>
      </c>
      <c r="C316" s="20" t="str">
        <f t="shared" si="18"/>
        <v>Feb</v>
      </c>
      <c r="D316" s="20" t="s">
        <v>4</v>
      </c>
      <c r="E316" s="20" t="s">
        <v>47</v>
      </c>
      <c r="F316" s="20" t="s">
        <v>61</v>
      </c>
      <c r="G316" s="20" t="str">
        <f>VLOOKUP(F316,'CUSTOMER INFO'!B9:D16,2,FALSE)</f>
        <v>Lifeline Medicals</v>
      </c>
      <c r="H316" s="20" t="str">
        <f>VLOOKUP(F316,'CUSTOMER INFO'!B9:D16,3,FALSE)</f>
        <v>Harshal Singh</v>
      </c>
      <c r="I316" s="20" t="s">
        <v>62</v>
      </c>
      <c r="J316" s="20" t="s">
        <v>156</v>
      </c>
      <c r="K316" s="19">
        <v>46357</v>
      </c>
      <c r="L316" s="20">
        <v>65</v>
      </c>
      <c r="M316" s="21">
        <v>90</v>
      </c>
      <c r="N316" s="22">
        <f t="shared" si="19"/>
        <v>5850</v>
      </c>
      <c r="O316" s="24" t="str">
        <f t="shared" si="16"/>
        <v>Y</v>
      </c>
      <c r="P316" s="21">
        <f t="shared" si="17"/>
        <v>5557.5</v>
      </c>
    </row>
    <row r="317" spans="1:16">
      <c r="A317" s="18">
        <v>414</v>
      </c>
      <c r="B317" s="19">
        <v>45696</v>
      </c>
      <c r="C317" s="20" t="str">
        <f t="shared" si="18"/>
        <v>Feb</v>
      </c>
      <c r="D317" s="20" t="s">
        <v>6</v>
      </c>
      <c r="E317" s="20" t="s">
        <v>51</v>
      </c>
      <c r="F317" s="20" t="s">
        <v>64</v>
      </c>
      <c r="G317" s="20" t="str">
        <f>VLOOKUP(F317,'CUSTOMER INFO'!B10:D17,2,FALSE)</f>
        <v>CarePlus Medical Store</v>
      </c>
      <c r="H317" s="20" t="str">
        <f>VLOOKUP(F317,'CUSTOMER INFO'!B10:D17,3,FALSE)</f>
        <v>Riya Mishra</v>
      </c>
      <c r="I317" s="20" t="s">
        <v>65</v>
      </c>
      <c r="J317" s="20" t="s">
        <v>157</v>
      </c>
      <c r="K317" s="19">
        <v>46296</v>
      </c>
      <c r="L317" s="20">
        <v>28</v>
      </c>
      <c r="M317" s="21">
        <v>20</v>
      </c>
      <c r="N317" s="22">
        <f t="shared" si="19"/>
        <v>560</v>
      </c>
      <c r="O317" s="24" t="str">
        <f t="shared" si="16"/>
        <v>N</v>
      </c>
      <c r="P317" s="21">
        <f t="shared" si="17"/>
        <v>560</v>
      </c>
    </row>
    <row r="318" spans="1:16">
      <c r="A318" s="18">
        <v>415</v>
      </c>
      <c r="B318" s="19">
        <v>45697</v>
      </c>
      <c r="C318" s="20" t="str">
        <f t="shared" si="18"/>
        <v>Feb</v>
      </c>
      <c r="D318" s="20" t="s">
        <v>9</v>
      </c>
      <c r="E318" s="20" t="s">
        <v>39</v>
      </c>
      <c r="F318" s="20" t="s">
        <v>40</v>
      </c>
      <c r="G318" s="20" t="str">
        <f>VLOOKUP(F318,'CUSTOMER INFO'!B3:D10,2,FALSE)</f>
        <v>Shree Medical &amp; General Store</v>
      </c>
      <c r="H318" s="20" t="str">
        <f>VLOOKUP(F318,'CUSTOMER INFO'!B3:D10,3,FALSE)</f>
        <v>Abhijeet Kulkarni</v>
      </c>
      <c r="I318" s="20" t="s">
        <v>67</v>
      </c>
      <c r="J318" s="20" t="s">
        <v>158</v>
      </c>
      <c r="K318" s="19">
        <v>46083</v>
      </c>
      <c r="L318" s="20">
        <v>48</v>
      </c>
      <c r="M318" s="21">
        <v>35</v>
      </c>
      <c r="N318" s="22">
        <f t="shared" si="19"/>
        <v>1680</v>
      </c>
      <c r="O318" s="24" t="str">
        <f t="shared" si="16"/>
        <v>N</v>
      </c>
      <c r="P318" s="21">
        <f t="shared" si="17"/>
        <v>1680</v>
      </c>
    </row>
    <row r="319" spans="1:16">
      <c r="A319" s="18">
        <v>416</v>
      </c>
      <c r="B319" s="19">
        <v>45698</v>
      </c>
      <c r="C319" s="20" t="str">
        <f t="shared" si="18"/>
        <v>Feb</v>
      </c>
      <c r="D319" s="20" t="s">
        <v>7</v>
      </c>
      <c r="E319" s="20" t="s">
        <v>43</v>
      </c>
      <c r="F319" s="20" t="s">
        <v>44</v>
      </c>
      <c r="G319" s="20" t="str">
        <f>VLOOKUP(F319,'CUSTOMER INFO'!B4:D11,2,FALSE)</f>
        <v>JeevanCare Medical Store</v>
      </c>
      <c r="H319" s="20" t="str">
        <f>VLOOKUP(F319,'CUSTOMER INFO'!B4:D11,3,FALSE)</f>
        <v>Neha Patel</v>
      </c>
      <c r="I319" s="20" t="s">
        <v>41</v>
      </c>
      <c r="J319" s="20" t="s">
        <v>139</v>
      </c>
      <c r="K319" s="19">
        <v>46381</v>
      </c>
      <c r="L319" s="20">
        <v>38</v>
      </c>
      <c r="M319" s="21">
        <v>42</v>
      </c>
      <c r="N319" s="22">
        <f t="shared" si="19"/>
        <v>1596</v>
      </c>
      <c r="O319" s="24" t="str">
        <f t="shared" si="16"/>
        <v>N</v>
      </c>
      <c r="P319" s="21">
        <f t="shared" si="17"/>
        <v>1596</v>
      </c>
    </row>
    <row r="320" spans="1:16">
      <c r="A320" s="18">
        <v>417</v>
      </c>
      <c r="B320" s="19">
        <v>45699</v>
      </c>
      <c r="C320" s="20" t="str">
        <f t="shared" si="18"/>
        <v>Feb</v>
      </c>
      <c r="D320" s="20" t="s">
        <v>3</v>
      </c>
      <c r="E320" s="20" t="s">
        <v>47</v>
      </c>
      <c r="F320" s="20" t="s">
        <v>48</v>
      </c>
      <c r="G320" s="20" t="str">
        <f>VLOOKUP(F320,'CUSTOMER INFO'!B5:D12,2,FALSE)</f>
        <v>Arogya Medical &amp; General</v>
      </c>
      <c r="H320" s="20" t="str">
        <f>VLOOKUP(F320,'CUSTOMER INFO'!B5:D12,3,FALSE)</f>
        <v>Hrishkesh Jadhv</v>
      </c>
      <c r="I320" s="20" t="s">
        <v>45</v>
      </c>
      <c r="J320" s="20" t="s">
        <v>140</v>
      </c>
      <c r="K320" s="19">
        <v>46115</v>
      </c>
      <c r="L320" s="20">
        <v>48</v>
      </c>
      <c r="M320" s="21">
        <v>22</v>
      </c>
      <c r="N320" s="22">
        <f t="shared" si="19"/>
        <v>1056</v>
      </c>
      <c r="O320" s="24" t="str">
        <f t="shared" si="16"/>
        <v>N</v>
      </c>
      <c r="P320" s="21">
        <f t="shared" si="17"/>
        <v>1056</v>
      </c>
    </row>
    <row r="321" spans="1:16">
      <c r="A321" s="18">
        <v>418</v>
      </c>
      <c r="B321" s="19">
        <v>45700</v>
      </c>
      <c r="C321" s="20" t="str">
        <f t="shared" si="18"/>
        <v>Feb</v>
      </c>
      <c r="D321" s="20" t="s">
        <v>8</v>
      </c>
      <c r="E321" s="20" t="s">
        <v>51</v>
      </c>
      <c r="F321" s="20" t="s">
        <v>52</v>
      </c>
      <c r="G321" s="20" t="str">
        <f>VLOOKUP(F321,'CUSTOMER INFO'!B6:D13,2,FALSE)</f>
        <v>MedEase</v>
      </c>
      <c r="H321" s="20" t="str">
        <f>VLOOKUP(F321,'CUSTOMER INFO'!B6:D13,3,FALSE)</f>
        <v>Siddant Patil</v>
      </c>
      <c r="I321" s="20" t="s">
        <v>49</v>
      </c>
      <c r="J321" s="20" t="s">
        <v>141</v>
      </c>
      <c r="K321" s="19">
        <v>46178</v>
      </c>
      <c r="L321" s="20">
        <v>58</v>
      </c>
      <c r="M321" s="21">
        <v>48</v>
      </c>
      <c r="N321" s="22">
        <f t="shared" si="19"/>
        <v>2784</v>
      </c>
      <c r="O321" s="24" t="str">
        <f t="shared" si="16"/>
        <v>N</v>
      </c>
      <c r="P321" s="21">
        <f t="shared" si="17"/>
        <v>2784</v>
      </c>
    </row>
    <row r="322" spans="1:16">
      <c r="A322" s="18">
        <v>419</v>
      </c>
      <c r="B322" s="19">
        <v>45701</v>
      </c>
      <c r="C322" s="20" t="str">
        <f t="shared" si="18"/>
        <v>Feb</v>
      </c>
      <c r="D322" s="20" t="s">
        <v>5</v>
      </c>
      <c r="E322" s="20" t="s">
        <v>39</v>
      </c>
      <c r="F322" s="20" t="s">
        <v>55</v>
      </c>
      <c r="G322" s="20" t="str">
        <f>VLOOKUP(F322,'CUSTOMER INFO'!B7:D14,2,FALSE)</f>
        <v>CityMed Pharmacy</v>
      </c>
      <c r="H322" s="20" t="str">
        <f>VLOOKUP(F322,'CUSTOMER INFO'!B7:D14,3,FALSE)</f>
        <v>Vikram Shah</v>
      </c>
      <c r="I322" s="20" t="s">
        <v>53</v>
      </c>
      <c r="J322" s="20" t="s">
        <v>142</v>
      </c>
      <c r="K322" s="19">
        <v>46297</v>
      </c>
      <c r="L322" s="20">
        <v>35</v>
      </c>
      <c r="M322" s="21">
        <v>95</v>
      </c>
      <c r="N322" s="22">
        <f t="shared" si="19"/>
        <v>3325</v>
      </c>
      <c r="O322" s="24" t="str">
        <f t="shared" si="16"/>
        <v>N</v>
      </c>
      <c r="P322" s="21">
        <f t="shared" si="17"/>
        <v>3325</v>
      </c>
    </row>
    <row r="323" spans="1:16">
      <c r="A323" s="18">
        <v>420</v>
      </c>
      <c r="B323" s="19">
        <v>45702</v>
      </c>
      <c r="C323" s="20" t="str">
        <f t="shared" si="18"/>
        <v>Feb</v>
      </c>
      <c r="D323" s="20" t="s">
        <v>10</v>
      </c>
      <c r="E323" s="20" t="s">
        <v>43</v>
      </c>
      <c r="F323" s="20" t="s">
        <v>58</v>
      </c>
      <c r="G323" s="20" t="str">
        <f>VLOOKUP(F323,'CUSTOMER INFO'!B8:D15,2,FALSE)</f>
        <v>TrustCare Medicals</v>
      </c>
      <c r="H323" s="20" t="str">
        <f>VLOOKUP(F323,'CUSTOMER INFO'!B8:D15,3,FALSE)</f>
        <v>Pooja Sharma</v>
      </c>
      <c r="I323" s="20" t="s">
        <v>56</v>
      </c>
      <c r="J323" s="20" t="s">
        <v>143</v>
      </c>
      <c r="K323" s="19">
        <v>46357</v>
      </c>
      <c r="L323" s="20">
        <v>22</v>
      </c>
      <c r="M323" s="21">
        <v>18</v>
      </c>
      <c r="N323" s="22">
        <f t="shared" si="19"/>
        <v>396</v>
      </c>
      <c r="O323" s="24" t="str">
        <f t="shared" si="16"/>
        <v>N</v>
      </c>
      <c r="P323" s="21">
        <f t="shared" si="17"/>
        <v>396</v>
      </c>
    </row>
    <row r="324" spans="1:16">
      <c r="A324" s="18">
        <v>421</v>
      </c>
      <c r="B324" s="19">
        <v>45703</v>
      </c>
      <c r="C324" s="20" t="str">
        <f t="shared" si="18"/>
        <v>Feb</v>
      </c>
      <c r="D324" s="20" t="s">
        <v>4</v>
      </c>
      <c r="E324" s="20" t="s">
        <v>47</v>
      </c>
      <c r="F324" s="20" t="s">
        <v>61</v>
      </c>
      <c r="G324" s="20" t="str">
        <f>VLOOKUP(F324,'CUSTOMER INFO'!B9:D16,2,FALSE)</f>
        <v>Lifeline Medicals</v>
      </c>
      <c r="H324" s="20" t="str">
        <f>VLOOKUP(F324,'CUSTOMER INFO'!B9:D16,3,FALSE)</f>
        <v>Harshal Singh</v>
      </c>
      <c r="I324" s="20" t="s">
        <v>59</v>
      </c>
      <c r="J324" s="20" t="s">
        <v>144</v>
      </c>
      <c r="K324" s="19">
        <v>46266</v>
      </c>
      <c r="L324" s="20">
        <v>26</v>
      </c>
      <c r="M324" s="21">
        <v>75</v>
      </c>
      <c r="N324" s="22">
        <f t="shared" si="19"/>
        <v>1950</v>
      </c>
      <c r="O324" s="24" t="str">
        <f t="shared" ref="O324:O368" si="20">IF(L324&gt;=60,"Y","N")</f>
        <v>N</v>
      </c>
      <c r="P324" s="21">
        <f t="shared" ref="P324:P368" si="21">IF(L324&gt;=60,0.95*N324,N324)</f>
        <v>1950</v>
      </c>
    </row>
    <row r="325" spans="1:16">
      <c r="A325" s="18">
        <v>422</v>
      </c>
      <c r="B325" s="19">
        <v>45704</v>
      </c>
      <c r="C325" s="20" t="str">
        <f t="shared" ref="C325:C368" si="22">TEXT(B325,"mmm")</f>
        <v>Feb</v>
      </c>
      <c r="D325" s="20" t="s">
        <v>6</v>
      </c>
      <c r="E325" s="20" t="s">
        <v>51</v>
      </c>
      <c r="F325" s="20" t="s">
        <v>64</v>
      </c>
      <c r="G325" s="20" t="str">
        <f>VLOOKUP(F325,'CUSTOMER INFO'!B10:D17,2,FALSE)</f>
        <v>CarePlus Medical Store</v>
      </c>
      <c r="H325" s="20" t="str">
        <f>VLOOKUP(F325,'CUSTOMER INFO'!B10:D17,3,FALSE)</f>
        <v>Riya Mishra</v>
      </c>
      <c r="I325" s="20" t="s">
        <v>62</v>
      </c>
      <c r="J325" s="20" t="s">
        <v>145</v>
      </c>
      <c r="K325" s="19">
        <v>45870</v>
      </c>
      <c r="L325" s="20">
        <v>68</v>
      </c>
      <c r="M325" s="21">
        <v>55</v>
      </c>
      <c r="N325" s="22">
        <f t="shared" ref="N325:N368" si="23">L325*M325</f>
        <v>3740</v>
      </c>
      <c r="O325" s="24" t="str">
        <f t="shared" si="20"/>
        <v>Y</v>
      </c>
      <c r="P325" s="21">
        <f t="shared" si="21"/>
        <v>3553</v>
      </c>
    </row>
    <row r="326" spans="1:16">
      <c r="A326" s="18">
        <v>423</v>
      </c>
      <c r="B326" s="19">
        <v>45705</v>
      </c>
      <c r="C326" s="20" t="str">
        <f t="shared" si="22"/>
        <v>Feb</v>
      </c>
      <c r="D326" s="20" t="s">
        <v>9</v>
      </c>
      <c r="E326" s="20" t="s">
        <v>39</v>
      </c>
      <c r="F326" s="20" t="s">
        <v>40</v>
      </c>
      <c r="G326" s="20" t="str">
        <f>VLOOKUP(F326,'CUSTOMER INFO'!B3:D10,2,FALSE)</f>
        <v>Shree Medical &amp; General Store</v>
      </c>
      <c r="H326" s="20" t="str">
        <f>VLOOKUP(F326,'CUSTOMER INFO'!B3:D10,3,FALSE)</f>
        <v>Abhijeet Kulkarni</v>
      </c>
      <c r="I326" s="20" t="s">
        <v>65</v>
      </c>
      <c r="J326" s="20" t="s">
        <v>146</v>
      </c>
      <c r="K326" s="19">
        <v>46266</v>
      </c>
      <c r="L326" s="20">
        <v>45</v>
      </c>
      <c r="M326" s="21">
        <v>32</v>
      </c>
      <c r="N326" s="22">
        <f t="shared" si="23"/>
        <v>1440</v>
      </c>
      <c r="O326" s="24" t="str">
        <f t="shared" si="20"/>
        <v>N</v>
      </c>
      <c r="P326" s="21">
        <f t="shared" si="21"/>
        <v>1440</v>
      </c>
    </row>
    <row r="327" spans="1:16">
      <c r="A327" s="18">
        <v>424</v>
      </c>
      <c r="B327" s="19">
        <v>45706</v>
      </c>
      <c r="C327" s="20" t="str">
        <f t="shared" si="22"/>
        <v>Feb</v>
      </c>
      <c r="D327" s="20" t="s">
        <v>7</v>
      </c>
      <c r="E327" s="20" t="s">
        <v>43</v>
      </c>
      <c r="F327" s="20" t="s">
        <v>44</v>
      </c>
      <c r="G327" s="20" t="str">
        <f>VLOOKUP(F327,'CUSTOMER INFO'!B4:D11,2,FALSE)</f>
        <v>JeevanCare Medical Store</v>
      </c>
      <c r="H327" s="20" t="str">
        <f>VLOOKUP(F327,'CUSTOMER INFO'!B4:D11,3,FALSE)</f>
        <v>Neha Patel</v>
      </c>
      <c r="I327" s="20" t="s">
        <v>67</v>
      </c>
      <c r="J327" s="20" t="s">
        <v>147</v>
      </c>
      <c r="K327" s="19">
        <v>46357</v>
      </c>
      <c r="L327" s="20">
        <v>59</v>
      </c>
      <c r="M327" s="21">
        <v>90</v>
      </c>
      <c r="N327" s="22">
        <f t="shared" si="23"/>
        <v>5310</v>
      </c>
      <c r="O327" s="24" t="str">
        <f t="shared" si="20"/>
        <v>N</v>
      </c>
      <c r="P327" s="21">
        <f t="shared" si="21"/>
        <v>5310</v>
      </c>
    </row>
    <row r="328" spans="1:16">
      <c r="A328" s="18">
        <v>425</v>
      </c>
      <c r="B328" s="19">
        <v>45707</v>
      </c>
      <c r="C328" s="20" t="str">
        <f t="shared" si="22"/>
        <v>Feb</v>
      </c>
      <c r="D328" s="20" t="s">
        <v>3</v>
      </c>
      <c r="E328" s="20" t="s">
        <v>47</v>
      </c>
      <c r="F328" s="20" t="s">
        <v>48</v>
      </c>
      <c r="G328" s="20" t="str">
        <f>VLOOKUP(F328,'CUSTOMER INFO'!B5:D12,2,FALSE)</f>
        <v>Arogya Medical &amp; General</v>
      </c>
      <c r="H328" s="20" t="str">
        <f>VLOOKUP(F328,'CUSTOMER INFO'!B5:D12,3,FALSE)</f>
        <v>Hrishkesh Jadhv</v>
      </c>
      <c r="I328" s="20" t="s">
        <v>69</v>
      </c>
      <c r="J328" s="20" t="s">
        <v>148</v>
      </c>
      <c r="K328" s="19">
        <v>46296</v>
      </c>
      <c r="L328" s="20">
        <v>45</v>
      </c>
      <c r="M328" s="21">
        <v>20</v>
      </c>
      <c r="N328" s="22">
        <f t="shared" si="23"/>
        <v>900</v>
      </c>
      <c r="O328" s="24" t="str">
        <f t="shared" si="20"/>
        <v>N</v>
      </c>
      <c r="P328" s="21">
        <f t="shared" si="21"/>
        <v>900</v>
      </c>
    </row>
    <row r="329" spans="1:16">
      <c r="A329" s="18">
        <v>426</v>
      </c>
      <c r="B329" s="19">
        <v>45708</v>
      </c>
      <c r="C329" s="20" t="str">
        <f t="shared" si="22"/>
        <v>Feb</v>
      </c>
      <c r="D329" s="20" t="s">
        <v>8</v>
      </c>
      <c r="E329" s="20" t="s">
        <v>51</v>
      </c>
      <c r="F329" s="20" t="s">
        <v>52</v>
      </c>
      <c r="G329" s="20" t="str">
        <f>VLOOKUP(F329,'CUSTOMER INFO'!B6:D13,2,FALSE)</f>
        <v>MedEase</v>
      </c>
      <c r="H329" s="20" t="str">
        <f>VLOOKUP(F329,'CUSTOMER INFO'!B6:D13,3,FALSE)</f>
        <v>Siddant Patil</v>
      </c>
      <c r="I329" s="20" t="s">
        <v>71</v>
      </c>
      <c r="J329" s="20" t="s">
        <v>149</v>
      </c>
      <c r="K329" s="19">
        <v>46083</v>
      </c>
      <c r="L329" s="20">
        <v>35</v>
      </c>
      <c r="M329" s="21">
        <v>35</v>
      </c>
      <c r="N329" s="22">
        <f t="shared" si="23"/>
        <v>1225</v>
      </c>
      <c r="O329" s="24" t="str">
        <f t="shared" si="20"/>
        <v>N</v>
      </c>
      <c r="P329" s="21">
        <f t="shared" si="21"/>
        <v>1225</v>
      </c>
    </row>
    <row r="330" spans="1:16">
      <c r="A330" s="18">
        <v>427</v>
      </c>
      <c r="B330" s="19">
        <v>45709</v>
      </c>
      <c r="C330" s="20" t="str">
        <f t="shared" si="22"/>
        <v>Feb</v>
      </c>
      <c r="D330" s="20" t="s">
        <v>5</v>
      </c>
      <c r="E330" s="20" t="s">
        <v>39</v>
      </c>
      <c r="F330" s="20" t="s">
        <v>55</v>
      </c>
      <c r="G330" s="20" t="str">
        <f>VLOOKUP(F330,'CUSTOMER INFO'!B7:D14,2,FALSE)</f>
        <v>CityMed Pharmacy</v>
      </c>
      <c r="H330" s="20" t="str">
        <f>VLOOKUP(F330,'CUSTOMER INFO'!B7:D14,3,FALSE)</f>
        <v>Vikram Shah</v>
      </c>
      <c r="I330" s="20" t="s">
        <v>41</v>
      </c>
      <c r="J330" s="20" t="s">
        <v>150</v>
      </c>
      <c r="K330" s="19">
        <v>46381</v>
      </c>
      <c r="L330" s="20">
        <v>65</v>
      </c>
      <c r="M330" s="21">
        <v>42</v>
      </c>
      <c r="N330" s="22">
        <f t="shared" si="23"/>
        <v>2730</v>
      </c>
      <c r="O330" s="24" t="str">
        <f t="shared" si="20"/>
        <v>Y</v>
      </c>
      <c r="P330" s="21">
        <f t="shared" si="21"/>
        <v>2593.5</v>
      </c>
    </row>
    <row r="331" spans="1:16">
      <c r="A331" s="18">
        <v>428</v>
      </c>
      <c r="B331" s="19">
        <v>45710</v>
      </c>
      <c r="C331" s="20" t="str">
        <f t="shared" si="22"/>
        <v>Feb</v>
      </c>
      <c r="D331" s="20" t="s">
        <v>10</v>
      </c>
      <c r="E331" s="20" t="s">
        <v>43</v>
      </c>
      <c r="F331" s="20" t="s">
        <v>58</v>
      </c>
      <c r="G331" s="20" t="str">
        <f>VLOOKUP(F331,'CUSTOMER INFO'!B8:D15,2,FALSE)</f>
        <v>TrustCare Medicals</v>
      </c>
      <c r="H331" s="20" t="str">
        <f>VLOOKUP(F331,'CUSTOMER INFO'!B8:D15,3,FALSE)</f>
        <v>Pooja Sharma</v>
      </c>
      <c r="I331" s="20" t="s">
        <v>45</v>
      </c>
      <c r="J331" s="20" t="s">
        <v>151</v>
      </c>
      <c r="K331" s="19">
        <v>46115</v>
      </c>
      <c r="L331" s="20">
        <v>35</v>
      </c>
      <c r="M331" s="21">
        <v>22</v>
      </c>
      <c r="N331" s="22">
        <f t="shared" si="23"/>
        <v>770</v>
      </c>
      <c r="O331" s="24" t="str">
        <f t="shared" si="20"/>
        <v>N</v>
      </c>
      <c r="P331" s="21">
        <f t="shared" si="21"/>
        <v>770</v>
      </c>
    </row>
    <row r="332" spans="1:16">
      <c r="A332" s="18">
        <v>429</v>
      </c>
      <c r="B332" s="19">
        <v>45711</v>
      </c>
      <c r="C332" s="20" t="str">
        <f t="shared" si="22"/>
        <v>Feb</v>
      </c>
      <c r="D332" s="20" t="s">
        <v>4</v>
      </c>
      <c r="E332" s="20" t="s">
        <v>47</v>
      </c>
      <c r="F332" s="20" t="s">
        <v>61</v>
      </c>
      <c r="G332" s="20" t="str">
        <f>VLOOKUP(F332,'CUSTOMER INFO'!B9:D16,2,FALSE)</f>
        <v>Lifeline Medicals</v>
      </c>
      <c r="H332" s="20" t="str">
        <f>VLOOKUP(F332,'CUSTOMER INFO'!B9:D16,3,FALSE)</f>
        <v>Harshal Singh</v>
      </c>
      <c r="I332" s="20" t="s">
        <v>49</v>
      </c>
      <c r="J332" s="20" t="s">
        <v>152</v>
      </c>
      <c r="K332" s="19">
        <v>46178</v>
      </c>
      <c r="L332" s="20">
        <v>26</v>
      </c>
      <c r="M332" s="21">
        <v>48</v>
      </c>
      <c r="N332" s="22">
        <f t="shared" si="23"/>
        <v>1248</v>
      </c>
      <c r="O332" s="24" t="str">
        <f t="shared" si="20"/>
        <v>N</v>
      </c>
      <c r="P332" s="21">
        <f t="shared" si="21"/>
        <v>1248</v>
      </c>
    </row>
    <row r="333" spans="1:16">
      <c r="A333" s="18">
        <v>430</v>
      </c>
      <c r="B333" s="19">
        <v>45712</v>
      </c>
      <c r="C333" s="20" t="str">
        <f t="shared" si="22"/>
        <v>Feb</v>
      </c>
      <c r="D333" s="20" t="s">
        <v>6</v>
      </c>
      <c r="E333" s="20" t="s">
        <v>51</v>
      </c>
      <c r="F333" s="20" t="s">
        <v>64</v>
      </c>
      <c r="G333" s="20" t="str">
        <f>VLOOKUP(F333,'CUSTOMER INFO'!B10:D17,2,FALSE)</f>
        <v>CarePlus Medical Store</v>
      </c>
      <c r="H333" s="20" t="str">
        <f>VLOOKUP(F333,'CUSTOMER INFO'!B10:D17,3,FALSE)</f>
        <v>Riya Mishra</v>
      </c>
      <c r="I333" s="20" t="s">
        <v>53</v>
      </c>
      <c r="J333" s="20" t="s">
        <v>153</v>
      </c>
      <c r="K333" s="19">
        <v>46297</v>
      </c>
      <c r="L333" s="20">
        <v>35</v>
      </c>
      <c r="M333" s="21">
        <v>95</v>
      </c>
      <c r="N333" s="22">
        <f t="shared" si="23"/>
        <v>3325</v>
      </c>
      <c r="O333" s="24" t="str">
        <f t="shared" si="20"/>
        <v>N</v>
      </c>
      <c r="P333" s="21">
        <f t="shared" si="21"/>
        <v>3325</v>
      </c>
    </row>
    <row r="334" spans="1:16">
      <c r="A334" s="18">
        <v>431</v>
      </c>
      <c r="B334" s="19">
        <v>45713</v>
      </c>
      <c r="C334" s="20" t="str">
        <f t="shared" si="22"/>
        <v>Feb</v>
      </c>
      <c r="D334" s="20" t="s">
        <v>9</v>
      </c>
      <c r="E334" s="20" t="s">
        <v>39</v>
      </c>
      <c r="F334" s="20" t="s">
        <v>40</v>
      </c>
      <c r="G334" s="20" t="str">
        <f>VLOOKUP(F334,'CUSTOMER INFO'!B3:D11,2,FALSE)</f>
        <v>Shree Medical &amp; General Store</v>
      </c>
      <c r="H334" s="20" t="str">
        <f>VLOOKUP(F334,'CUSTOMER INFO'!B3:D10,3,FALSE)</f>
        <v>Abhijeet Kulkarni</v>
      </c>
      <c r="I334" s="20" t="s">
        <v>56</v>
      </c>
      <c r="J334" s="20" t="s">
        <v>154</v>
      </c>
      <c r="K334" s="19">
        <v>46357</v>
      </c>
      <c r="L334" s="20">
        <v>22</v>
      </c>
      <c r="M334" s="21">
        <v>18</v>
      </c>
      <c r="N334" s="22">
        <f t="shared" si="23"/>
        <v>396</v>
      </c>
      <c r="O334" s="24" t="str">
        <f t="shared" si="20"/>
        <v>N</v>
      </c>
      <c r="P334" s="21">
        <f t="shared" si="21"/>
        <v>396</v>
      </c>
    </row>
    <row r="335" spans="1:16">
      <c r="A335" s="18">
        <v>432</v>
      </c>
      <c r="B335" s="19">
        <v>45714</v>
      </c>
      <c r="C335" s="20" t="str">
        <f t="shared" si="22"/>
        <v>Feb</v>
      </c>
      <c r="D335" s="20" t="s">
        <v>7</v>
      </c>
      <c r="E335" s="20" t="s">
        <v>43</v>
      </c>
      <c r="F335" s="20" t="s">
        <v>44</v>
      </c>
      <c r="G335" s="20" t="str">
        <f>VLOOKUP(F335,'CUSTOMER INFO'!B4:D12,2,FALSE)</f>
        <v>JeevanCare Medical Store</v>
      </c>
      <c r="H335" s="20" t="str">
        <f>VLOOKUP(F335,'CUSTOMER INFO'!B4:D11,3,FALSE)</f>
        <v>Neha Patel</v>
      </c>
      <c r="I335" s="20" t="s">
        <v>59</v>
      </c>
      <c r="J335" s="20" t="s">
        <v>155</v>
      </c>
      <c r="K335" s="19">
        <v>46266</v>
      </c>
      <c r="L335" s="20">
        <v>25</v>
      </c>
      <c r="M335" s="21">
        <v>75</v>
      </c>
      <c r="N335" s="22">
        <f t="shared" si="23"/>
        <v>1875</v>
      </c>
      <c r="O335" s="24" t="str">
        <f t="shared" si="20"/>
        <v>N</v>
      </c>
      <c r="P335" s="21">
        <f t="shared" si="21"/>
        <v>1875</v>
      </c>
    </row>
    <row r="336" spans="1:16">
      <c r="A336" s="18">
        <v>433</v>
      </c>
      <c r="B336" s="19">
        <v>45715</v>
      </c>
      <c r="C336" s="20" t="str">
        <f t="shared" si="22"/>
        <v>Feb</v>
      </c>
      <c r="D336" s="20" t="s">
        <v>3</v>
      </c>
      <c r="E336" s="20" t="s">
        <v>47</v>
      </c>
      <c r="F336" s="20" t="s">
        <v>48</v>
      </c>
      <c r="G336" s="20" t="str">
        <f>VLOOKUP(F336,'CUSTOMER INFO'!B5:D13,2,FALSE)</f>
        <v>Arogya Medical &amp; General</v>
      </c>
      <c r="H336" s="20" t="str">
        <f>VLOOKUP(F336,'CUSTOMER INFO'!B5:D12,3,FALSE)</f>
        <v>Hrishkesh Jadhv</v>
      </c>
      <c r="I336" s="20" t="s">
        <v>62</v>
      </c>
      <c r="J336" s="20" t="s">
        <v>156</v>
      </c>
      <c r="K336" s="19">
        <v>45870</v>
      </c>
      <c r="L336" s="20">
        <v>35</v>
      </c>
      <c r="M336" s="21">
        <v>55</v>
      </c>
      <c r="N336" s="22">
        <f t="shared" si="23"/>
        <v>1925</v>
      </c>
      <c r="O336" s="24" t="str">
        <f t="shared" si="20"/>
        <v>N</v>
      </c>
      <c r="P336" s="21">
        <f t="shared" si="21"/>
        <v>1925</v>
      </c>
    </row>
    <row r="337" spans="1:16">
      <c r="A337" s="18">
        <v>434</v>
      </c>
      <c r="B337" s="19">
        <v>45716</v>
      </c>
      <c r="C337" s="20" t="str">
        <f t="shared" si="22"/>
        <v>Feb</v>
      </c>
      <c r="D337" s="20" t="s">
        <v>8</v>
      </c>
      <c r="E337" s="20" t="s">
        <v>51</v>
      </c>
      <c r="F337" s="20" t="s">
        <v>52</v>
      </c>
      <c r="G337" s="20" t="str">
        <f>VLOOKUP(F337,'CUSTOMER INFO'!B6:D14,2,FALSE)</f>
        <v>MedEase</v>
      </c>
      <c r="H337" s="20" t="str">
        <f>VLOOKUP(F337,'CUSTOMER INFO'!B6:D13,3,FALSE)</f>
        <v>Siddant Patil</v>
      </c>
      <c r="I337" s="20" t="s">
        <v>41</v>
      </c>
      <c r="J337" s="20" t="s">
        <v>150</v>
      </c>
      <c r="K337" s="19">
        <v>46266</v>
      </c>
      <c r="L337" s="20">
        <v>52</v>
      </c>
      <c r="M337" s="21">
        <v>32</v>
      </c>
      <c r="N337" s="22">
        <f t="shared" si="23"/>
        <v>1664</v>
      </c>
      <c r="O337" s="24" t="str">
        <f t="shared" si="20"/>
        <v>N</v>
      </c>
      <c r="P337" s="21">
        <f t="shared" si="21"/>
        <v>1664</v>
      </c>
    </row>
    <row r="338" spans="1:16">
      <c r="A338" s="18">
        <v>435</v>
      </c>
      <c r="B338" s="19">
        <v>45717</v>
      </c>
      <c r="C338" s="20" t="str">
        <f t="shared" si="22"/>
        <v>Mar</v>
      </c>
      <c r="D338" s="20" t="s">
        <v>5</v>
      </c>
      <c r="E338" s="20" t="s">
        <v>39</v>
      </c>
      <c r="F338" s="20" t="s">
        <v>55</v>
      </c>
      <c r="G338" s="20" t="str">
        <f>VLOOKUP(F338,'CUSTOMER INFO'!B7:D15,2,FALSE)</f>
        <v>CityMed Pharmacy</v>
      </c>
      <c r="H338" s="20" t="str">
        <f>VLOOKUP(F338,'CUSTOMER INFO'!B7:D14,3,FALSE)</f>
        <v>Vikram Shah</v>
      </c>
      <c r="I338" s="20" t="s">
        <v>45</v>
      </c>
      <c r="J338" s="20" t="s">
        <v>151</v>
      </c>
      <c r="K338" s="19">
        <v>46357</v>
      </c>
      <c r="L338" s="20">
        <v>34</v>
      </c>
      <c r="M338" s="21">
        <v>90</v>
      </c>
      <c r="N338" s="22">
        <f t="shared" si="23"/>
        <v>3060</v>
      </c>
      <c r="O338" s="24" t="str">
        <f t="shared" si="20"/>
        <v>N</v>
      </c>
      <c r="P338" s="21">
        <f t="shared" si="21"/>
        <v>3060</v>
      </c>
    </row>
    <row r="339" spans="1:16">
      <c r="A339" s="18">
        <v>436</v>
      </c>
      <c r="B339" s="19">
        <v>45718</v>
      </c>
      <c r="C339" s="20" t="str">
        <f t="shared" si="22"/>
        <v>Mar</v>
      </c>
      <c r="D339" s="20" t="s">
        <v>10</v>
      </c>
      <c r="E339" s="20" t="s">
        <v>43</v>
      </c>
      <c r="F339" s="20" t="s">
        <v>58</v>
      </c>
      <c r="G339" s="20" t="str">
        <f>VLOOKUP(F339,'CUSTOMER INFO'!B8:D16,2,FALSE)</f>
        <v>TrustCare Medicals</v>
      </c>
      <c r="H339" s="20" t="str">
        <f>VLOOKUP(F339,'CUSTOMER INFO'!B8:D15,3,FALSE)</f>
        <v>Pooja Sharma</v>
      </c>
      <c r="I339" s="20" t="s">
        <v>49</v>
      </c>
      <c r="J339" s="20" t="s">
        <v>152</v>
      </c>
      <c r="K339" s="19">
        <v>46296</v>
      </c>
      <c r="L339" s="20">
        <v>25</v>
      </c>
      <c r="M339" s="21">
        <v>20</v>
      </c>
      <c r="N339" s="22">
        <f t="shared" si="23"/>
        <v>500</v>
      </c>
      <c r="O339" s="24" t="str">
        <f t="shared" si="20"/>
        <v>N</v>
      </c>
      <c r="P339" s="21">
        <f t="shared" si="21"/>
        <v>500</v>
      </c>
    </row>
    <row r="340" spans="1:16">
      <c r="A340" s="18">
        <v>437</v>
      </c>
      <c r="B340" s="19">
        <v>45719</v>
      </c>
      <c r="C340" s="20" t="str">
        <f t="shared" si="22"/>
        <v>Mar</v>
      </c>
      <c r="D340" s="20" t="s">
        <v>4</v>
      </c>
      <c r="E340" s="20" t="s">
        <v>47</v>
      </c>
      <c r="F340" s="20" t="s">
        <v>61</v>
      </c>
      <c r="G340" s="20" t="str">
        <f>VLOOKUP(F340,'CUSTOMER INFO'!B9:D17,2,FALSE)</f>
        <v>Lifeline Medicals</v>
      </c>
      <c r="H340" s="20" t="str">
        <f>VLOOKUP(F340,'CUSTOMER INFO'!B9:D16,3,FALSE)</f>
        <v>Harshal Singh</v>
      </c>
      <c r="I340" s="20" t="s">
        <v>53</v>
      </c>
      <c r="J340" s="20" t="s">
        <v>153</v>
      </c>
      <c r="K340" s="19">
        <v>46083</v>
      </c>
      <c r="L340" s="20">
        <v>35</v>
      </c>
      <c r="M340" s="21">
        <v>35</v>
      </c>
      <c r="N340" s="22">
        <f t="shared" si="23"/>
        <v>1225</v>
      </c>
      <c r="O340" s="24" t="str">
        <f t="shared" si="20"/>
        <v>N</v>
      </c>
      <c r="P340" s="21">
        <f t="shared" si="21"/>
        <v>1225</v>
      </c>
    </row>
    <row r="341" spans="1:16">
      <c r="A341" s="18">
        <v>438</v>
      </c>
      <c r="B341" s="19">
        <v>45720</v>
      </c>
      <c r="C341" s="20" t="str">
        <f t="shared" si="22"/>
        <v>Mar</v>
      </c>
      <c r="D341" s="20" t="s">
        <v>6</v>
      </c>
      <c r="E341" s="20" t="s">
        <v>51</v>
      </c>
      <c r="F341" s="20" t="s">
        <v>64</v>
      </c>
      <c r="G341" s="20" t="str">
        <f>VLOOKUP(F341,'CUSTOMER INFO'!B10:D18,2,FALSE)</f>
        <v>CarePlus Medical Store</v>
      </c>
      <c r="H341" s="20" t="str">
        <f>VLOOKUP(F341,'CUSTOMER INFO'!B10:D17,3,FALSE)</f>
        <v>Riya Mishra</v>
      </c>
      <c r="I341" s="20" t="s">
        <v>56</v>
      </c>
      <c r="J341" s="20" t="s">
        <v>154</v>
      </c>
      <c r="K341" s="19">
        <v>46381</v>
      </c>
      <c r="L341" s="20">
        <v>20</v>
      </c>
      <c r="M341" s="21">
        <v>42</v>
      </c>
      <c r="N341" s="22">
        <f t="shared" si="23"/>
        <v>840</v>
      </c>
      <c r="O341" s="24" t="str">
        <f t="shared" si="20"/>
        <v>N</v>
      </c>
      <c r="P341" s="21">
        <f t="shared" si="21"/>
        <v>840</v>
      </c>
    </row>
    <row r="342" spans="1:16">
      <c r="A342" s="18">
        <v>439</v>
      </c>
      <c r="B342" s="19">
        <v>45721</v>
      </c>
      <c r="C342" s="20" t="str">
        <f t="shared" si="22"/>
        <v>Mar</v>
      </c>
      <c r="D342" s="20" t="s">
        <v>9</v>
      </c>
      <c r="E342" s="20" t="s">
        <v>39</v>
      </c>
      <c r="F342" s="20" t="s">
        <v>40</v>
      </c>
      <c r="G342" s="20" t="str">
        <f>VLOOKUP(F342,'CUSTOMER INFO'!B3:D10,2,FALSE)</f>
        <v>Shree Medical &amp; General Store</v>
      </c>
      <c r="H342" s="20" t="str">
        <f>VLOOKUP(F342,'CUSTOMER INFO'!B3:D10,3,FALSE)</f>
        <v>Abhijeet Kulkarni</v>
      </c>
      <c r="I342" s="20" t="s">
        <v>59</v>
      </c>
      <c r="J342" s="20" t="s">
        <v>155</v>
      </c>
      <c r="K342" s="19">
        <v>46115</v>
      </c>
      <c r="L342" s="20">
        <v>26</v>
      </c>
      <c r="M342" s="21">
        <v>22</v>
      </c>
      <c r="N342" s="22">
        <f t="shared" si="23"/>
        <v>572</v>
      </c>
      <c r="O342" s="24" t="str">
        <f t="shared" si="20"/>
        <v>N</v>
      </c>
      <c r="P342" s="21">
        <f t="shared" si="21"/>
        <v>572</v>
      </c>
    </row>
    <row r="343" spans="1:16">
      <c r="A343" s="18">
        <v>440</v>
      </c>
      <c r="B343" s="19">
        <v>45722</v>
      </c>
      <c r="C343" s="20" t="str">
        <f t="shared" si="22"/>
        <v>Mar</v>
      </c>
      <c r="D343" s="20" t="s">
        <v>7</v>
      </c>
      <c r="E343" s="20" t="s">
        <v>43</v>
      </c>
      <c r="F343" s="20" t="s">
        <v>44</v>
      </c>
      <c r="G343" s="20" t="str">
        <f>VLOOKUP(F343,'CUSTOMER INFO'!B4:D11,2,FALSE)</f>
        <v>JeevanCare Medical Store</v>
      </c>
      <c r="H343" s="20" t="str">
        <f>VLOOKUP(F343,'CUSTOMER INFO'!B4:D11,3,FALSE)</f>
        <v>Neha Patel</v>
      </c>
      <c r="I343" s="20" t="s">
        <v>62</v>
      </c>
      <c r="J343" s="20" t="s">
        <v>156</v>
      </c>
      <c r="K343" s="19">
        <v>46178</v>
      </c>
      <c r="L343" s="20">
        <v>22</v>
      </c>
      <c r="M343" s="21">
        <v>48</v>
      </c>
      <c r="N343" s="22">
        <f t="shared" si="23"/>
        <v>1056</v>
      </c>
      <c r="O343" s="24" t="str">
        <f t="shared" si="20"/>
        <v>N</v>
      </c>
      <c r="P343" s="21">
        <f t="shared" si="21"/>
        <v>1056</v>
      </c>
    </row>
    <row r="344" spans="1:16">
      <c r="A344" s="18">
        <v>441</v>
      </c>
      <c r="B344" s="19">
        <v>45723</v>
      </c>
      <c r="C344" s="20" t="str">
        <f t="shared" si="22"/>
        <v>Mar</v>
      </c>
      <c r="D344" s="20" t="s">
        <v>3</v>
      </c>
      <c r="E344" s="20" t="s">
        <v>47</v>
      </c>
      <c r="F344" s="20" t="s">
        <v>48</v>
      </c>
      <c r="G344" s="20" t="str">
        <f>VLOOKUP(F344,'CUSTOMER INFO'!B5:D12,2,FALSE)</f>
        <v>Arogya Medical &amp; General</v>
      </c>
      <c r="H344" s="20" t="str">
        <f>VLOOKUP(F344,'CUSTOMER INFO'!B5:D12,3,FALSE)</f>
        <v>Hrishkesh Jadhv</v>
      </c>
      <c r="I344" s="20" t="s">
        <v>65</v>
      </c>
      <c r="J344" s="20" t="s">
        <v>157</v>
      </c>
      <c r="K344" s="19">
        <v>46297</v>
      </c>
      <c r="L344" s="20">
        <v>26</v>
      </c>
      <c r="M344" s="21">
        <v>95</v>
      </c>
      <c r="N344" s="22">
        <f t="shared" si="23"/>
        <v>2470</v>
      </c>
      <c r="O344" s="24" t="str">
        <f t="shared" si="20"/>
        <v>N</v>
      </c>
      <c r="P344" s="21">
        <f t="shared" si="21"/>
        <v>2470</v>
      </c>
    </row>
    <row r="345" spans="1:16">
      <c r="A345" s="18">
        <v>442</v>
      </c>
      <c r="B345" s="19">
        <v>45724</v>
      </c>
      <c r="C345" s="20" t="str">
        <f t="shared" si="22"/>
        <v>Mar</v>
      </c>
      <c r="D345" s="20" t="s">
        <v>8</v>
      </c>
      <c r="E345" s="20" t="s">
        <v>39</v>
      </c>
      <c r="F345" s="20" t="s">
        <v>52</v>
      </c>
      <c r="G345" s="20" t="str">
        <f>VLOOKUP(F345,'CUSTOMER INFO'!B6:D13,2,FALSE)</f>
        <v>MedEase</v>
      </c>
      <c r="H345" s="20" t="str">
        <f>VLOOKUP(F345,'CUSTOMER INFO'!B6:D13,3,FALSE)</f>
        <v>Siddant Patil</v>
      </c>
      <c r="I345" s="20" t="s">
        <v>67</v>
      </c>
      <c r="J345" s="20" t="s">
        <v>158</v>
      </c>
      <c r="K345" s="19">
        <v>46357</v>
      </c>
      <c r="L345" s="20">
        <v>54</v>
      </c>
      <c r="M345" s="21">
        <v>18</v>
      </c>
      <c r="N345" s="22">
        <f t="shared" si="23"/>
        <v>972</v>
      </c>
      <c r="O345" s="24" t="str">
        <f t="shared" si="20"/>
        <v>N</v>
      </c>
      <c r="P345" s="21">
        <f t="shared" si="21"/>
        <v>972</v>
      </c>
    </row>
    <row r="346" spans="1:16">
      <c r="A346" s="18">
        <v>443</v>
      </c>
      <c r="B346" s="19">
        <v>45725</v>
      </c>
      <c r="C346" s="20" t="str">
        <f t="shared" si="22"/>
        <v>Mar</v>
      </c>
      <c r="D346" s="20" t="s">
        <v>5</v>
      </c>
      <c r="E346" s="20" t="s">
        <v>43</v>
      </c>
      <c r="F346" s="20" t="s">
        <v>55</v>
      </c>
      <c r="G346" s="20" t="str">
        <f>VLOOKUP(F346,'CUSTOMER INFO'!B7:D14,2,FALSE)</f>
        <v>CityMed Pharmacy</v>
      </c>
      <c r="H346" s="20" t="str">
        <f>VLOOKUP(F346,'CUSTOMER INFO'!B7:D14,3,FALSE)</f>
        <v>Vikram Shah</v>
      </c>
      <c r="I346" s="20" t="s">
        <v>69</v>
      </c>
      <c r="J346" s="20" t="s">
        <v>159</v>
      </c>
      <c r="K346" s="19">
        <v>46266</v>
      </c>
      <c r="L346" s="20">
        <v>56</v>
      </c>
      <c r="M346" s="21">
        <v>75</v>
      </c>
      <c r="N346" s="22">
        <f t="shared" si="23"/>
        <v>4200</v>
      </c>
      <c r="O346" s="24" t="str">
        <f t="shared" si="20"/>
        <v>N</v>
      </c>
      <c r="P346" s="21">
        <f t="shared" si="21"/>
        <v>4200</v>
      </c>
    </row>
    <row r="347" spans="1:16">
      <c r="A347" s="18">
        <v>444</v>
      </c>
      <c r="B347" s="19">
        <v>45726</v>
      </c>
      <c r="C347" s="20" t="str">
        <f t="shared" si="22"/>
        <v>Mar</v>
      </c>
      <c r="D347" s="20" t="s">
        <v>10</v>
      </c>
      <c r="E347" s="20" t="s">
        <v>47</v>
      </c>
      <c r="F347" s="20" t="s">
        <v>58</v>
      </c>
      <c r="G347" s="20" t="str">
        <f>VLOOKUP(F347,'CUSTOMER INFO'!B8:D15,2,FALSE)</f>
        <v>TrustCare Medicals</v>
      </c>
      <c r="H347" s="20" t="str">
        <f>VLOOKUP(F347,'CUSTOMER INFO'!B8:D15,3,FALSE)</f>
        <v>Pooja Sharma</v>
      </c>
      <c r="I347" s="20" t="s">
        <v>71</v>
      </c>
      <c r="J347" s="20" t="s">
        <v>160</v>
      </c>
      <c r="K347" s="19">
        <v>45870</v>
      </c>
      <c r="L347" s="20">
        <v>36</v>
      </c>
      <c r="M347" s="21">
        <v>55</v>
      </c>
      <c r="N347" s="22">
        <f t="shared" si="23"/>
        <v>1980</v>
      </c>
      <c r="O347" s="24" t="str">
        <f t="shared" si="20"/>
        <v>N</v>
      </c>
      <c r="P347" s="21">
        <f t="shared" si="21"/>
        <v>1980</v>
      </c>
    </row>
    <row r="348" spans="1:16">
      <c r="A348" s="18">
        <v>445</v>
      </c>
      <c r="B348" s="19">
        <v>45727</v>
      </c>
      <c r="C348" s="20" t="str">
        <f t="shared" si="22"/>
        <v>Mar</v>
      </c>
      <c r="D348" s="20" t="s">
        <v>4</v>
      </c>
      <c r="E348" s="20" t="s">
        <v>51</v>
      </c>
      <c r="F348" s="20" t="s">
        <v>61</v>
      </c>
      <c r="G348" s="20" t="str">
        <f>VLOOKUP(F348,'CUSTOMER INFO'!B9:D16,2,FALSE)</f>
        <v>Lifeline Medicals</v>
      </c>
      <c r="H348" s="20" t="str">
        <f>VLOOKUP(F348,'CUSTOMER INFO'!B9:D16,3,FALSE)</f>
        <v>Harshal Singh</v>
      </c>
      <c r="I348" s="20" t="s">
        <v>41</v>
      </c>
      <c r="J348" s="20" t="s">
        <v>161</v>
      </c>
      <c r="K348" s="19">
        <v>46266</v>
      </c>
      <c r="L348" s="20">
        <v>54</v>
      </c>
      <c r="M348" s="21">
        <v>32</v>
      </c>
      <c r="N348" s="22">
        <f t="shared" si="23"/>
        <v>1728</v>
      </c>
      <c r="O348" s="24" t="str">
        <f t="shared" si="20"/>
        <v>N</v>
      </c>
      <c r="P348" s="21">
        <f t="shared" si="21"/>
        <v>1728</v>
      </c>
    </row>
    <row r="349" spans="1:16">
      <c r="A349" s="18">
        <v>446</v>
      </c>
      <c r="B349" s="19">
        <v>45728</v>
      </c>
      <c r="C349" s="20" t="str">
        <f t="shared" si="22"/>
        <v>Mar</v>
      </c>
      <c r="D349" s="20" t="s">
        <v>6</v>
      </c>
      <c r="E349" s="20" t="s">
        <v>39</v>
      </c>
      <c r="F349" s="20" t="s">
        <v>64</v>
      </c>
      <c r="G349" s="20" t="str">
        <f>VLOOKUP(F349,'CUSTOMER INFO'!B10:D17,2,FALSE)</f>
        <v>CarePlus Medical Store</v>
      </c>
      <c r="H349" s="20" t="str">
        <f>VLOOKUP(F349,'CUSTOMER INFO'!B10:D17,3,FALSE)</f>
        <v>Riya Mishra</v>
      </c>
      <c r="I349" s="20" t="s">
        <v>45</v>
      </c>
      <c r="J349" s="20" t="s">
        <v>162</v>
      </c>
      <c r="K349" s="19">
        <v>46357</v>
      </c>
      <c r="L349" s="20">
        <v>62</v>
      </c>
      <c r="M349" s="21">
        <v>90</v>
      </c>
      <c r="N349" s="22">
        <f t="shared" si="23"/>
        <v>5580</v>
      </c>
      <c r="O349" s="24" t="str">
        <f t="shared" si="20"/>
        <v>Y</v>
      </c>
      <c r="P349" s="21">
        <f t="shared" si="21"/>
        <v>5301</v>
      </c>
    </row>
    <row r="350" spans="1:16">
      <c r="A350" s="18">
        <v>447</v>
      </c>
      <c r="B350" s="19">
        <v>45729</v>
      </c>
      <c r="C350" s="20" t="str">
        <f t="shared" si="22"/>
        <v>Mar</v>
      </c>
      <c r="D350" s="20" t="s">
        <v>9</v>
      </c>
      <c r="E350" s="20" t="s">
        <v>43</v>
      </c>
      <c r="F350" s="20" t="s">
        <v>40</v>
      </c>
      <c r="G350" s="20" t="str">
        <f>VLOOKUP(F350,'CUSTOMER INFO'!B3:D10,2,FALSE)</f>
        <v>Shree Medical &amp; General Store</v>
      </c>
      <c r="H350" s="20" t="str">
        <f>VLOOKUP(F350,'CUSTOMER INFO'!B3:D10,3,FALSE)</f>
        <v>Abhijeet Kulkarni</v>
      </c>
      <c r="I350" s="20" t="s">
        <v>49</v>
      </c>
      <c r="J350" s="20" t="s">
        <v>163</v>
      </c>
      <c r="K350" s="19">
        <v>46296</v>
      </c>
      <c r="L350" s="20">
        <v>48</v>
      </c>
      <c r="M350" s="21">
        <v>20</v>
      </c>
      <c r="N350" s="22">
        <f t="shared" si="23"/>
        <v>960</v>
      </c>
      <c r="O350" s="24" t="str">
        <f t="shared" si="20"/>
        <v>N</v>
      </c>
      <c r="P350" s="21">
        <f t="shared" si="21"/>
        <v>960</v>
      </c>
    </row>
    <row r="351" spans="1:16">
      <c r="A351" s="18">
        <v>448</v>
      </c>
      <c r="B351" s="19">
        <v>45730</v>
      </c>
      <c r="C351" s="20" t="str">
        <f t="shared" si="22"/>
        <v>Mar</v>
      </c>
      <c r="D351" s="20" t="s">
        <v>7</v>
      </c>
      <c r="E351" s="20" t="s">
        <v>47</v>
      </c>
      <c r="F351" s="20" t="s">
        <v>44</v>
      </c>
      <c r="G351" s="20" t="str">
        <f>VLOOKUP(F351,'CUSTOMER INFO'!B4:D11,2,FALSE)</f>
        <v>JeevanCare Medical Store</v>
      </c>
      <c r="H351" s="20" t="str">
        <f>VLOOKUP(F351,'CUSTOMER INFO'!B4:D11,3,FALSE)</f>
        <v>Neha Patel</v>
      </c>
      <c r="I351" s="20" t="s">
        <v>53</v>
      </c>
      <c r="J351" s="20" t="s">
        <v>164</v>
      </c>
      <c r="K351" s="19">
        <v>46083</v>
      </c>
      <c r="L351" s="20">
        <v>54</v>
      </c>
      <c r="M351" s="21">
        <v>35</v>
      </c>
      <c r="N351" s="22">
        <f t="shared" si="23"/>
        <v>1890</v>
      </c>
      <c r="O351" s="24" t="str">
        <f t="shared" si="20"/>
        <v>N</v>
      </c>
      <c r="P351" s="21">
        <f t="shared" si="21"/>
        <v>1890</v>
      </c>
    </row>
    <row r="352" spans="1:16">
      <c r="A352" s="18">
        <v>449</v>
      </c>
      <c r="B352" s="19">
        <v>45731</v>
      </c>
      <c r="C352" s="20" t="str">
        <f t="shared" si="22"/>
        <v>Mar</v>
      </c>
      <c r="D352" s="20" t="s">
        <v>3</v>
      </c>
      <c r="E352" s="20" t="s">
        <v>51</v>
      </c>
      <c r="F352" s="20" t="s">
        <v>48</v>
      </c>
      <c r="G352" s="20" t="str">
        <f>VLOOKUP(F352,'CUSTOMER INFO'!B5:D12,2,FALSE)</f>
        <v>Arogya Medical &amp; General</v>
      </c>
      <c r="H352" s="20" t="str">
        <f>VLOOKUP(F352,'CUSTOMER INFO'!B5:D12,3,FALSE)</f>
        <v>Hrishkesh Jadhv</v>
      </c>
      <c r="I352" s="20" t="s">
        <v>56</v>
      </c>
      <c r="J352" s="20" t="s">
        <v>165</v>
      </c>
      <c r="K352" s="19">
        <v>46381</v>
      </c>
      <c r="L352" s="20">
        <v>26</v>
      </c>
      <c r="M352" s="21">
        <v>42</v>
      </c>
      <c r="N352" s="22">
        <f t="shared" si="23"/>
        <v>1092</v>
      </c>
      <c r="O352" s="24" t="str">
        <f t="shared" si="20"/>
        <v>N</v>
      </c>
      <c r="P352" s="21">
        <f t="shared" si="21"/>
        <v>1092</v>
      </c>
    </row>
    <row r="353" spans="1:16">
      <c r="A353" s="18">
        <v>450</v>
      </c>
      <c r="B353" s="19">
        <v>45732</v>
      </c>
      <c r="C353" s="20" t="str">
        <f t="shared" si="22"/>
        <v>Mar</v>
      </c>
      <c r="D353" s="20" t="s">
        <v>8</v>
      </c>
      <c r="E353" s="20" t="s">
        <v>39</v>
      </c>
      <c r="F353" s="20" t="s">
        <v>52</v>
      </c>
      <c r="G353" s="20" t="str">
        <f>VLOOKUP(F353,'CUSTOMER INFO'!B6:D13,2,FALSE)</f>
        <v>MedEase</v>
      </c>
      <c r="H353" s="20" t="str">
        <f>VLOOKUP(F353,'CUSTOMER INFO'!B6:D13,3,FALSE)</f>
        <v>Siddant Patil</v>
      </c>
      <c r="I353" s="20" t="s">
        <v>59</v>
      </c>
      <c r="J353" s="20" t="s">
        <v>166</v>
      </c>
      <c r="K353" s="19">
        <v>46115</v>
      </c>
      <c r="L353" s="20">
        <v>22</v>
      </c>
      <c r="M353" s="21">
        <v>22</v>
      </c>
      <c r="N353" s="22">
        <f t="shared" si="23"/>
        <v>484</v>
      </c>
      <c r="O353" s="24" t="str">
        <f t="shared" si="20"/>
        <v>N</v>
      </c>
      <c r="P353" s="21">
        <f t="shared" si="21"/>
        <v>484</v>
      </c>
    </row>
    <row r="354" spans="1:16">
      <c r="A354" s="18">
        <v>451</v>
      </c>
      <c r="B354" s="19">
        <v>45733</v>
      </c>
      <c r="C354" s="20" t="str">
        <f t="shared" si="22"/>
        <v>Mar</v>
      </c>
      <c r="D354" s="20" t="s">
        <v>5</v>
      </c>
      <c r="E354" s="20" t="s">
        <v>43</v>
      </c>
      <c r="F354" s="20" t="s">
        <v>55</v>
      </c>
      <c r="G354" s="20" t="str">
        <f>VLOOKUP(F354,'CUSTOMER INFO'!B7:D14,2,FALSE)</f>
        <v>CityMed Pharmacy</v>
      </c>
      <c r="H354" s="20" t="str">
        <f>VLOOKUP(F354,'CUSTOMER INFO'!B7:D14,3,FALSE)</f>
        <v>Vikram Shah</v>
      </c>
      <c r="I354" s="20" t="s">
        <v>62</v>
      </c>
      <c r="J354" s="20" t="s">
        <v>167</v>
      </c>
      <c r="K354" s="19">
        <v>46178</v>
      </c>
      <c r="L354" s="20">
        <v>31</v>
      </c>
      <c r="M354" s="21">
        <v>48</v>
      </c>
      <c r="N354" s="22">
        <f t="shared" si="23"/>
        <v>1488</v>
      </c>
      <c r="O354" s="24" t="str">
        <f t="shared" si="20"/>
        <v>N</v>
      </c>
      <c r="P354" s="21">
        <f t="shared" si="21"/>
        <v>1488</v>
      </c>
    </row>
    <row r="355" spans="1:16">
      <c r="A355" s="18">
        <v>452</v>
      </c>
      <c r="B355" s="19">
        <v>45734</v>
      </c>
      <c r="C355" s="20" t="str">
        <f t="shared" si="22"/>
        <v>Mar</v>
      </c>
      <c r="D355" s="20" t="s">
        <v>10</v>
      </c>
      <c r="E355" s="20" t="s">
        <v>47</v>
      </c>
      <c r="F355" s="20" t="s">
        <v>58</v>
      </c>
      <c r="G355" s="20" t="str">
        <f>VLOOKUP(F355,'CUSTOMER INFO'!B8:D15,2,FALSE)</f>
        <v>TrustCare Medicals</v>
      </c>
      <c r="H355" s="20" t="str">
        <f>VLOOKUP(F355,'CUSTOMER INFO'!B8:D15,3,FALSE)</f>
        <v>Pooja Sharma</v>
      </c>
      <c r="I355" s="20" t="s">
        <v>41</v>
      </c>
      <c r="J355" s="20" t="s">
        <v>161</v>
      </c>
      <c r="K355" s="19">
        <v>46297</v>
      </c>
      <c r="L355" s="20">
        <v>54</v>
      </c>
      <c r="M355" s="21">
        <v>95</v>
      </c>
      <c r="N355" s="22">
        <f t="shared" si="23"/>
        <v>5130</v>
      </c>
      <c r="O355" s="24" t="str">
        <f t="shared" si="20"/>
        <v>N</v>
      </c>
      <c r="P355" s="21">
        <f t="shared" si="21"/>
        <v>5130</v>
      </c>
    </row>
    <row r="356" spans="1:16">
      <c r="A356" s="18">
        <v>453</v>
      </c>
      <c r="B356" s="19">
        <v>45735</v>
      </c>
      <c r="C356" s="20" t="str">
        <f t="shared" si="22"/>
        <v>Mar</v>
      </c>
      <c r="D356" s="20" t="s">
        <v>4</v>
      </c>
      <c r="E356" s="20" t="s">
        <v>51</v>
      </c>
      <c r="F356" s="20" t="s">
        <v>61</v>
      </c>
      <c r="G356" s="20" t="str">
        <f>VLOOKUP(F356,'CUSTOMER INFO'!B9:D16,2,FALSE)</f>
        <v>Lifeline Medicals</v>
      </c>
      <c r="H356" s="20" t="str">
        <f>VLOOKUP(F356,'CUSTOMER INFO'!B9:D16,3,FALSE)</f>
        <v>Harshal Singh</v>
      </c>
      <c r="I356" s="20" t="s">
        <v>45</v>
      </c>
      <c r="J356" s="20" t="s">
        <v>162</v>
      </c>
      <c r="K356" s="19">
        <v>46357</v>
      </c>
      <c r="L356" s="20">
        <v>52</v>
      </c>
      <c r="M356" s="21">
        <v>18</v>
      </c>
      <c r="N356" s="22">
        <f t="shared" si="23"/>
        <v>936</v>
      </c>
      <c r="O356" s="24" t="str">
        <f t="shared" si="20"/>
        <v>N</v>
      </c>
      <c r="P356" s="21">
        <f t="shared" si="21"/>
        <v>936</v>
      </c>
    </row>
    <row r="357" spans="1:16">
      <c r="A357" s="18">
        <v>454</v>
      </c>
      <c r="B357" s="19">
        <v>45736</v>
      </c>
      <c r="C357" s="20" t="str">
        <f t="shared" si="22"/>
        <v>Mar</v>
      </c>
      <c r="D357" s="20" t="s">
        <v>6</v>
      </c>
      <c r="E357" s="20" t="s">
        <v>39</v>
      </c>
      <c r="F357" s="20" t="s">
        <v>64</v>
      </c>
      <c r="G357" s="20" t="str">
        <f>VLOOKUP(F357,'CUSTOMER INFO'!B10:D17,2,FALSE)</f>
        <v>CarePlus Medical Store</v>
      </c>
      <c r="H357" s="20" t="str">
        <f>VLOOKUP(F357,'CUSTOMER INFO'!B10:D17,3,FALSE)</f>
        <v>Riya Mishra</v>
      </c>
      <c r="I357" s="20" t="s">
        <v>49</v>
      </c>
      <c r="J357" s="20" t="s">
        <v>163</v>
      </c>
      <c r="K357" s="19">
        <v>46266</v>
      </c>
      <c r="L357" s="20">
        <v>46</v>
      </c>
      <c r="M357" s="21">
        <v>75</v>
      </c>
      <c r="N357" s="22">
        <f t="shared" si="23"/>
        <v>3450</v>
      </c>
      <c r="O357" s="24" t="str">
        <f t="shared" si="20"/>
        <v>N</v>
      </c>
      <c r="P357" s="21">
        <f t="shared" si="21"/>
        <v>3450</v>
      </c>
    </row>
    <row r="358" spans="1:16">
      <c r="A358" s="18">
        <v>455</v>
      </c>
      <c r="B358" s="19">
        <v>45737</v>
      </c>
      <c r="C358" s="20" t="str">
        <f t="shared" si="22"/>
        <v>Mar</v>
      </c>
      <c r="D358" s="20" t="s">
        <v>9</v>
      </c>
      <c r="E358" s="20" t="s">
        <v>43</v>
      </c>
      <c r="F358" s="20" t="s">
        <v>40</v>
      </c>
      <c r="G358" s="20" t="str">
        <f>VLOOKUP(Table1[[#This Row],[Customer ID]],'CUSTOMER INFO'!B3:D10,2,FALSE)</f>
        <v>Shree Medical &amp; General Store</v>
      </c>
      <c r="H358" s="20" t="str">
        <f>VLOOKUP(F358,'CUSTOMER INFO'!B3:D10,3,FALSE)</f>
        <v>Abhijeet Kulkarni</v>
      </c>
      <c r="I358" s="20" t="s">
        <v>53</v>
      </c>
      <c r="J358" s="20" t="s">
        <v>164</v>
      </c>
      <c r="K358" s="19">
        <v>45870</v>
      </c>
      <c r="L358" s="20">
        <v>48</v>
      </c>
      <c r="M358" s="21">
        <v>55</v>
      </c>
      <c r="N358" s="22">
        <f t="shared" si="23"/>
        <v>2640</v>
      </c>
      <c r="O358" s="24" t="str">
        <f t="shared" si="20"/>
        <v>N</v>
      </c>
      <c r="P358" s="21">
        <f t="shared" si="21"/>
        <v>2640</v>
      </c>
    </row>
    <row r="359" spans="1:16">
      <c r="A359" s="18">
        <v>456</v>
      </c>
      <c r="B359" s="19">
        <v>45738</v>
      </c>
      <c r="C359" s="20" t="str">
        <f t="shared" si="22"/>
        <v>Mar</v>
      </c>
      <c r="D359" s="20" t="s">
        <v>7</v>
      </c>
      <c r="E359" s="20" t="s">
        <v>47</v>
      </c>
      <c r="F359" s="20" t="s">
        <v>44</v>
      </c>
      <c r="G359" s="20" t="str">
        <f>VLOOKUP(Table1[[#This Row],[Customer ID]],'CUSTOMER INFO'!B4:D11,2,FALSE)</f>
        <v>JeevanCare Medical Store</v>
      </c>
      <c r="H359" s="20" t="str">
        <f>VLOOKUP(F359,'CUSTOMER INFO'!B4:D11,3,FALSE)</f>
        <v>Neha Patel</v>
      </c>
      <c r="I359" s="20" t="s">
        <v>56</v>
      </c>
      <c r="J359" s="20" t="s">
        <v>165</v>
      </c>
      <c r="K359" s="19">
        <v>46266</v>
      </c>
      <c r="L359" s="20">
        <v>25</v>
      </c>
      <c r="M359" s="21">
        <v>32</v>
      </c>
      <c r="N359" s="22">
        <f t="shared" si="23"/>
        <v>800</v>
      </c>
      <c r="O359" s="24" t="str">
        <f t="shared" si="20"/>
        <v>N</v>
      </c>
      <c r="P359" s="21">
        <f t="shared" si="21"/>
        <v>800</v>
      </c>
    </row>
    <row r="360" spans="1:16">
      <c r="A360" s="18">
        <v>457</v>
      </c>
      <c r="B360" s="19">
        <v>45739</v>
      </c>
      <c r="C360" s="20" t="str">
        <f t="shared" si="22"/>
        <v>Mar</v>
      </c>
      <c r="D360" s="20" t="s">
        <v>3</v>
      </c>
      <c r="E360" s="20" t="s">
        <v>39</v>
      </c>
      <c r="F360" s="20" t="s">
        <v>48</v>
      </c>
      <c r="G360" s="20" t="str">
        <f>VLOOKUP(Table1[[#This Row],[Customer ID]],'CUSTOMER INFO'!B5:D12,2,FALSE)</f>
        <v>Arogya Medical &amp; General</v>
      </c>
      <c r="H360" s="20" t="str">
        <f>VLOOKUP(F360,'CUSTOMER INFO'!B5:D12,3,FALSE)</f>
        <v>Hrishkesh Jadhv</v>
      </c>
      <c r="I360" s="20" t="s">
        <v>59</v>
      </c>
      <c r="J360" s="20" t="s">
        <v>166</v>
      </c>
      <c r="K360" s="19">
        <v>46357</v>
      </c>
      <c r="L360" s="20">
        <v>32</v>
      </c>
      <c r="M360" s="21">
        <v>90</v>
      </c>
      <c r="N360" s="22">
        <f t="shared" si="23"/>
        <v>2880</v>
      </c>
      <c r="O360" s="24" t="str">
        <f t="shared" si="20"/>
        <v>N</v>
      </c>
      <c r="P360" s="21">
        <f t="shared" si="21"/>
        <v>2880</v>
      </c>
    </row>
    <row r="361" spans="1:16">
      <c r="A361" s="18">
        <v>458</v>
      </c>
      <c r="B361" s="19">
        <v>45740</v>
      </c>
      <c r="C361" s="20" t="str">
        <f t="shared" si="22"/>
        <v>Mar</v>
      </c>
      <c r="D361" s="20" t="s">
        <v>8</v>
      </c>
      <c r="E361" s="20" t="s">
        <v>43</v>
      </c>
      <c r="F361" s="20" t="s">
        <v>52</v>
      </c>
      <c r="G361" s="20" t="str">
        <f>VLOOKUP(Table1[[#This Row],[Customer ID]],'CUSTOMER INFO'!B6:D13,2,FALSE)</f>
        <v>MedEase</v>
      </c>
      <c r="H361" s="20" t="str">
        <f>VLOOKUP(F361,'CUSTOMER INFO'!B6:D13,3,FALSE)</f>
        <v>Siddant Patil</v>
      </c>
      <c r="I361" s="20" t="s">
        <v>62</v>
      </c>
      <c r="J361" s="20" t="s">
        <v>167</v>
      </c>
      <c r="K361" s="19">
        <v>46296</v>
      </c>
      <c r="L361" s="20">
        <v>42</v>
      </c>
      <c r="M361" s="21">
        <v>20</v>
      </c>
      <c r="N361" s="22">
        <f t="shared" si="23"/>
        <v>840</v>
      </c>
      <c r="O361" s="24" t="str">
        <f t="shared" si="20"/>
        <v>N</v>
      </c>
      <c r="P361" s="21">
        <f t="shared" si="21"/>
        <v>840</v>
      </c>
    </row>
    <row r="362" spans="1:16">
      <c r="A362" s="18">
        <v>459</v>
      </c>
      <c r="B362" s="19">
        <v>45741</v>
      </c>
      <c r="C362" s="20" t="str">
        <f t="shared" si="22"/>
        <v>Mar</v>
      </c>
      <c r="D362" s="20" t="s">
        <v>5</v>
      </c>
      <c r="E362" s="20" t="s">
        <v>47</v>
      </c>
      <c r="F362" s="20" t="s">
        <v>55</v>
      </c>
      <c r="G362" s="20" t="str">
        <f>VLOOKUP(Table1[[#This Row],[Customer ID]],'CUSTOMER INFO'!B7:D14,2,FALSE)</f>
        <v>CityMed Pharmacy</v>
      </c>
      <c r="H362" s="20" t="str">
        <f>VLOOKUP(F362,'CUSTOMER INFO'!B7:D14,3,FALSE)</f>
        <v>Vikram Shah</v>
      </c>
      <c r="I362" s="20" t="s">
        <v>65</v>
      </c>
      <c r="J362" s="20" t="s">
        <v>168</v>
      </c>
      <c r="K362" s="19">
        <v>46083</v>
      </c>
      <c r="L362" s="20">
        <v>56</v>
      </c>
      <c r="M362" s="21">
        <v>35</v>
      </c>
      <c r="N362" s="22">
        <f t="shared" si="23"/>
        <v>1960</v>
      </c>
      <c r="O362" s="24" t="str">
        <f t="shared" si="20"/>
        <v>N</v>
      </c>
      <c r="P362" s="21">
        <f t="shared" si="21"/>
        <v>1960</v>
      </c>
    </row>
    <row r="363" spans="1:16">
      <c r="A363" s="18">
        <v>460</v>
      </c>
      <c r="B363" s="19">
        <v>45742</v>
      </c>
      <c r="C363" s="20" t="str">
        <f t="shared" si="22"/>
        <v>Mar</v>
      </c>
      <c r="D363" s="20" t="s">
        <v>10</v>
      </c>
      <c r="E363" s="20" t="s">
        <v>51</v>
      </c>
      <c r="F363" s="20" t="s">
        <v>58</v>
      </c>
      <c r="G363" s="20" t="str">
        <f>VLOOKUP(Table1[[#This Row],[Customer ID]],'CUSTOMER INFO'!B8:D15,2,FALSE)</f>
        <v>TrustCare Medicals</v>
      </c>
      <c r="H363" s="20" t="str">
        <f>VLOOKUP(F363,'CUSTOMER INFO'!B8:D15,3,FALSE)</f>
        <v>Pooja Sharma</v>
      </c>
      <c r="I363" s="20" t="s">
        <v>67</v>
      </c>
      <c r="J363" s="20" t="s">
        <v>169</v>
      </c>
      <c r="K363" s="19">
        <v>46381</v>
      </c>
      <c r="L363" s="20">
        <v>45</v>
      </c>
      <c r="M363" s="21">
        <v>42</v>
      </c>
      <c r="N363" s="22">
        <f t="shared" si="23"/>
        <v>1890</v>
      </c>
      <c r="O363" s="24" t="str">
        <f t="shared" si="20"/>
        <v>N</v>
      </c>
      <c r="P363" s="21">
        <f t="shared" si="21"/>
        <v>1890</v>
      </c>
    </row>
    <row r="364" spans="1:16">
      <c r="A364" s="18">
        <v>461</v>
      </c>
      <c r="B364" s="19">
        <v>45743</v>
      </c>
      <c r="C364" s="20" t="str">
        <f t="shared" si="22"/>
        <v>Mar</v>
      </c>
      <c r="D364" s="20" t="s">
        <v>4</v>
      </c>
      <c r="E364" s="20" t="s">
        <v>39</v>
      </c>
      <c r="F364" s="20" t="s">
        <v>61</v>
      </c>
      <c r="G364" s="20" t="str">
        <f>VLOOKUP(Table1[[#This Row],[Customer ID]],'CUSTOMER INFO'!B9:D16,2,FALSE)</f>
        <v>Lifeline Medicals</v>
      </c>
      <c r="H364" s="20" t="str">
        <f>VLOOKUP(F364,'CUSTOMER INFO'!B9:D16,3,FALSE)</f>
        <v>Harshal Singh</v>
      </c>
      <c r="I364" s="20" t="s">
        <v>41</v>
      </c>
      <c r="J364" s="20" t="s">
        <v>150</v>
      </c>
      <c r="K364" s="19">
        <v>46115</v>
      </c>
      <c r="L364" s="20">
        <v>54</v>
      </c>
      <c r="M364" s="21">
        <v>22</v>
      </c>
      <c r="N364" s="22">
        <f t="shared" si="23"/>
        <v>1188</v>
      </c>
      <c r="O364" s="24" t="str">
        <f t="shared" si="20"/>
        <v>N</v>
      </c>
      <c r="P364" s="21">
        <f t="shared" si="21"/>
        <v>1188</v>
      </c>
    </row>
    <row r="365" spans="1:16">
      <c r="A365" s="18">
        <v>462</v>
      </c>
      <c r="B365" s="19">
        <v>45744</v>
      </c>
      <c r="C365" s="20" t="str">
        <f t="shared" si="22"/>
        <v>Mar</v>
      </c>
      <c r="D365" s="20" t="s">
        <v>6</v>
      </c>
      <c r="E365" s="20" t="s">
        <v>43</v>
      </c>
      <c r="F365" s="20" t="s">
        <v>64</v>
      </c>
      <c r="G365" s="20" t="str">
        <f>VLOOKUP(Table1[[#This Row],[Customer ID]],'CUSTOMER INFO'!B10:D17,2,FALSE)</f>
        <v>CarePlus Medical Store</v>
      </c>
      <c r="H365" s="20" t="str">
        <f>VLOOKUP(F365,'CUSTOMER INFO'!B10:D17,3,FALSE)</f>
        <v>Riya Mishra</v>
      </c>
      <c r="I365" s="20" t="s">
        <v>45</v>
      </c>
      <c r="J365" s="20" t="s">
        <v>151</v>
      </c>
      <c r="K365" s="19">
        <v>46178</v>
      </c>
      <c r="L365" s="20">
        <v>45</v>
      </c>
      <c r="M365" s="21">
        <v>48</v>
      </c>
      <c r="N365" s="22">
        <f t="shared" si="23"/>
        <v>2160</v>
      </c>
      <c r="O365" s="24" t="str">
        <f t="shared" si="20"/>
        <v>N</v>
      </c>
      <c r="P365" s="21">
        <f t="shared" si="21"/>
        <v>2160</v>
      </c>
    </row>
    <row r="366" spans="1:16" ht="18" customHeight="1">
      <c r="A366" s="18">
        <v>463</v>
      </c>
      <c r="B366" s="19">
        <v>45745</v>
      </c>
      <c r="C366" s="20" t="str">
        <f t="shared" si="22"/>
        <v>Mar</v>
      </c>
      <c r="D366" s="20" t="s">
        <v>5</v>
      </c>
      <c r="E366" s="20" t="s">
        <v>47</v>
      </c>
      <c r="F366" s="20" t="s">
        <v>40</v>
      </c>
      <c r="G366" s="26" t="str">
        <f>VLOOKUP(F366,'CUSTOMER INFO'!B3:D5,2,FALSE)</f>
        <v>Shree Medical &amp; General Store</v>
      </c>
      <c r="H366" s="20" t="str">
        <f>VLOOKUP(F366,'CUSTOMER INFO'!B3:D10,3,FALSE)</f>
        <v>Abhijeet Kulkarni</v>
      </c>
      <c r="I366" s="20" t="s">
        <v>49</v>
      </c>
      <c r="J366" s="20" t="s">
        <v>152</v>
      </c>
      <c r="K366" s="19">
        <v>46297</v>
      </c>
      <c r="L366" s="20">
        <v>24</v>
      </c>
      <c r="M366" s="21">
        <v>95</v>
      </c>
      <c r="N366" s="22">
        <f t="shared" si="23"/>
        <v>2280</v>
      </c>
      <c r="O366" s="24" t="str">
        <f t="shared" si="20"/>
        <v>N</v>
      </c>
      <c r="P366" s="21">
        <f t="shared" si="21"/>
        <v>2280</v>
      </c>
    </row>
    <row r="367" spans="1:16" ht="20.25" customHeight="1">
      <c r="A367" s="18">
        <v>464</v>
      </c>
      <c r="B367" s="19">
        <v>45746</v>
      </c>
      <c r="C367" s="20" t="str">
        <f t="shared" si="22"/>
        <v>Mar</v>
      </c>
      <c r="D367" s="20" t="s">
        <v>8</v>
      </c>
      <c r="E367" s="20" t="s">
        <v>51</v>
      </c>
      <c r="F367" s="20" t="s">
        <v>44</v>
      </c>
      <c r="G367" s="25" t="str">
        <f>VLOOKUP(F367,'CUSTOMER INFO'!B4:D6,2,FALSE)</f>
        <v>JeevanCare Medical Store</v>
      </c>
      <c r="H367" s="20" t="str">
        <f>VLOOKUP(F367,'CUSTOMER INFO'!B4:D11,3,FALSE)</f>
        <v>Neha Patel</v>
      </c>
      <c r="I367" s="20" t="s">
        <v>53</v>
      </c>
      <c r="J367" s="20" t="s">
        <v>153</v>
      </c>
      <c r="K367" s="19">
        <v>46357</v>
      </c>
      <c r="L367" s="20">
        <v>35</v>
      </c>
      <c r="M367" s="21">
        <v>18</v>
      </c>
      <c r="N367" s="22">
        <f t="shared" si="23"/>
        <v>630</v>
      </c>
      <c r="O367" s="24" t="str">
        <f t="shared" si="20"/>
        <v>N</v>
      </c>
      <c r="P367" s="21">
        <f t="shared" si="21"/>
        <v>630</v>
      </c>
    </row>
    <row r="368" spans="1:16" ht="14.25" customHeight="1">
      <c r="A368" s="27">
        <v>465</v>
      </c>
      <c r="B368" s="28">
        <v>45747</v>
      </c>
      <c r="C368" s="29" t="str">
        <f t="shared" si="22"/>
        <v>Mar</v>
      </c>
      <c r="D368" s="29" t="s">
        <v>4</v>
      </c>
      <c r="E368" s="29" t="s">
        <v>39</v>
      </c>
      <c r="F368" s="29" t="s">
        <v>48</v>
      </c>
      <c r="G368" s="25" t="str">
        <f>VLOOKUP(F368,'CUSTOMER INFO'!B5:D7,2,FALSE)</f>
        <v>Arogya Medical &amp; General</v>
      </c>
      <c r="H368" s="20" t="str">
        <f>VLOOKUP(F368,'CUSTOMER INFO'!B5:D12,3,FALSE)</f>
        <v>Hrishkesh Jadhv</v>
      </c>
      <c r="I368" s="29" t="s">
        <v>56</v>
      </c>
      <c r="J368" s="29" t="s">
        <v>154</v>
      </c>
      <c r="K368" s="28">
        <v>46266</v>
      </c>
      <c r="L368" s="29">
        <v>20</v>
      </c>
      <c r="M368" s="30">
        <v>75</v>
      </c>
      <c r="N368" s="31">
        <f t="shared" si="23"/>
        <v>1500</v>
      </c>
      <c r="O368" s="32" t="str">
        <f t="shared" si="20"/>
        <v>N</v>
      </c>
      <c r="P368" s="21">
        <f t="shared" si="21"/>
        <v>1500</v>
      </c>
    </row>
    <row r="369" spans="1:16">
      <c r="A369" s="5" t="s">
        <v>170</v>
      </c>
      <c r="B369" s="6"/>
      <c r="C369" s="7"/>
      <c r="D369" s="7"/>
      <c r="E369" s="7"/>
      <c r="F369" s="7"/>
      <c r="G369" s="7"/>
      <c r="H369" s="7"/>
      <c r="I369" s="7"/>
      <c r="J369" s="7"/>
      <c r="K369" s="6"/>
      <c r="L369" s="7">
        <f>SUM(Table1[Qty])</f>
        <v>15593</v>
      </c>
      <c r="M369" s="15"/>
      <c r="N369" s="11">
        <f>SUM(Table1[Total])</f>
        <v>753024</v>
      </c>
      <c r="O369" s="16"/>
      <c r="P369" s="15">
        <f>SUM(Table1[Final Price])</f>
        <v>745486.05</v>
      </c>
    </row>
    <row r="370" spans="1:16">
      <c r="B370" s="1"/>
    </row>
    <row r="371" spans="1:16">
      <c r="B371" s="1"/>
    </row>
    <row r="372" spans="1:16">
      <c r="B372" s="1"/>
    </row>
    <row r="373" spans="1:16">
      <c r="B373" s="1"/>
    </row>
    <row r="374" spans="1:16">
      <c r="B374" s="1"/>
    </row>
    <row r="375" spans="1:16">
      <c r="B375" s="1"/>
    </row>
    <row r="376" spans="1:16">
      <c r="B376" s="1"/>
    </row>
    <row r="377" spans="1:16">
      <c r="B377" s="1"/>
    </row>
    <row r="378" spans="1:16">
      <c r="B378" s="1"/>
    </row>
    <row r="379" spans="1:16">
      <c r="B379" s="1"/>
    </row>
    <row r="380" spans="1:16">
      <c r="B380" s="1"/>
    </row>
    <row r="381" spans="1:16">
      <c r="B381" s="1"/>
    </row>
    <row r="382" spans="1:16">
      <c r="B382" s="1"/>
    </row>
    <row r="383" spans="1:16">
      <c r="B383" s="1"/>
    </row>
    <row r="384" spans="1:16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</sheetData>
  <sheetProtection algorithmName="SHA-512" hashValue="6KowjEHvJIVz+ZW4lMYTuRKIdtCwOzY4GekV7wmyd2VVhv3rm+HUsFXa2tz+aJO8TXeUcJ63YjN66l73mkFIRA==" saltValue="vdHtCANxyTHlAei9CFiMVQ==" spinCount="100000" sheet="1" objects="1" scenarios="1"/>
  <mergeCells count="1">
    <mergeCell ref="A1:N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2B84-1DFB-4B20-9387-6A45207D3101}">
  <dimension ref="B2:G366"/>
  <sheetViews>
    <sheetView tabSelected="1" workbookViewId="0">
      <selection activeCell="D2" sqref="D2"/>
    </sheetView>
  </sheetViews>
  <sheetFormatPr defaultRowHeight="15"/>
  <cols>
    <col min="1" max="1" width="9.140625" style="34"/>
    <col min="2" max="2" width="11.85546875" style="34" bestFit="1" customWidth="1"/>
    <col min="3" max="3" width="27" style="34" customWidth="1"/>
    <col min="4" max="4" width="15.28515625" style="34" bestFit="1" customWidth="1"/>
    <col min="5" max="16384" width="9.140625" style="34"/>
  </cols>
  <sheetData>
    <row r="2" spans="2:4">
      <c r="B2" s="40" t="s">
        <v>28</v>
      </c>
      <c r="C2" s="41" t="s">
        <v>171</v>
      </c>
      <c r="D2" s="41" t="s">
        <v>172</v>
      </c>
    </row>
    <row r="3" spans="2:4" ht="18.75" customHeight="1">
      <c r="B3" s="20" t="s">
        <v>40</v>
      </c>
      <c r="C3" s="26" t="s">
        <v>173</v>
      </c>
      <c r="D3" s="20" t="s">
        <v>174</v>
      </c>
    </row>
    <row r="4" spans="2:4">
      <c r="B4" s="20" t="s">
        <v>44</v>
      </c>
      <c r="C4" s="20" t="s">
        <v>175</v>
      </c>
      <c r="D4" s="20" t="s">
        <v>176</v>
      </c>
    </row>
    <row r="5" spans="2:4">
      <c r="B5" s="20" t="s">
        <v>48</v>
      </c>
      <c r="C5" s="20" t="s">
        <v>177</v>
      </c>
      <c r="D5" s="20" t="s">
        <v>178</v>
      </c>
    </row>
    <row r="6" spans="2:4">
      <c r="B6" s="20" t="s">
        <v>52</v>
      </c>
      <c r="C6" s="20" t="s">
        <v>179</v>
      </c>
      <c r="D6" s="20" t="s">
        <v>180</v>
      </c>
    </row>
    <row r="7" spans="2:4">
      <c r="B7" s="20" t="s">
        <v>55</v>
      </c>
      <c r="C7" s="20" t="s">
        <v>181</v>
      </c>
      <c r="D7" s="20" t="s">
        <v>182</v>
      </c>
    </row>
    <row r="8" spans="2:4">
      <c r="B8" s="20" t="s">
        <v>58</v>
      </c>
      <c r="C8" s="20" t="s">
        <v>183</v>
      </c>
      <c r="D8" s="20" t="s">
        <v>184</v>
      </c>
    </row>
    <row r="9" spans="2:4">
      <c r="B9" s="20" t="s">
        <v>61</v>
      </c>
      <c r="C9" s="20" t="s">
        <v>185</v>
      </c>
      <c r="D9" s="20" t="s">
        <v>186</v>
      </c>
    </row>
    <row r="10" spans="2:4">
      <c r="B10" s="20" t="s">
        <v>64</v>
      </c>
      <c r="C10" s="20" t="s">
        <v>187</v>
      </c>
      <c r="D10" s="20" t="s">
        <v>188</v>
      </c>
    </row>
    <row r="60" spans="7:7">
      <c r="G60" s="34" t="e">
        <f>VLOOKUP(F60,'CUSTOMER INFO'!B3:D10,2,FALSE)</f>
        <v>#N/A</v>
      </c>
    </row>
    <row r="366" spans="7:7">
      <c r="G366" s="34" t="e">
        <f>VLOOKUP(F366,'CUSTOMER INFO'!B3:D10,2,FALSE)</f>
        <v>#N/A</v>
      </c>
    </row>
  </sheetData>
  <sheetProtection algorithmName="SHA-512" hashValue="jppIFWuPNMRdznwqk2SsD4xi7UB58CU4eRATzTtKb+hrbbgRTNFvtLYlB3JhUsBShFPfjMnt4d6QfVW2nl34LQ==" saltValue="SqWDX4EtTFXxdBQzC+0OqA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24AD-9D1F-490B-9E57-79959A38E424}">
  <dimension ref="A1:B8"/>
  <sheetViews>
    <sheetView workbookViewId="0">
      <selection activeCell="A8" sqref="A8"/>
    </sheetView>
  </sheetViews>
  <sheetFormatPr defaultRowHeight="15"/>
  <cols>
    <col min="1" max="1" width="16" customWidth="1"/>
    <col min="2" max="2" width="74" customWidth="1"/>
  </cols>
  <sheetData>
    <row r="1" spans="1:2">
      <c r="A1" s="36" t="s">
        <v>189</v>
      </c>
      <c r="B1" s="36" t="s">
        <v>190</v>
      </c>
    </row>
    <row r="2" spans="1:2" ht="15.75" customHeight="1">
      <c r="A2" s="34" t="s">
        <v>191</v>
      </c>
      <c r="B2" s="34" t="s">
        <v>192</v>
      </c>
    </row>
    <row r="3" spans="1:2" ht="17.25" customHeight="1">
      <c r="A3" s="34" t="s">
        <v>193</v>
      </c>
      <c r="B3" s="37" t="s">
        <v>194</v>
      </c>
    </row>
    <row r="4" spans="1:2">
      <c r="A4" s="34" t="s">
        <v>195</v>
      </c>
      <c r="B4" s="34" t="s">
        <v>196</v>
      </c>
    </row>
    <row r="5" spans="1:2">
      <c r="A5" s="34" t="s">
        <v>197</v>
      </c>
      <c r="B5" s="34" t="s">
        <v>198</v>
      </c>
    </row>
    <row r="6" spans="1:2">
      <c r="A6" s="34" t="s">
        <v>199</v>
      </c>
      <c r="B6" s="38">
        <v>45990</v>
      </c>
    </row>
    <row r="7" spans="1:2">
      <c r="A7" s="34" t="s">
        <v>200</v>
      </c>
      <c r="B7" s="39" t="s">
        <v>201</v>
      </c>
    </row>
    <row r="8" spans="1:2" ht="21" customHeight="1">
      <c r="A8" s="34" t="s">
        <v>202</v>
      </c>
      <c r="B8" s="37" t="s">
        <v>203</v>
      </c>
    </row>
  </sheetData>
  <sheetProtection algorithmName="SHA-512" hashValue="Ck3c/AFahu0oMZ9Z4tNEnROLK2pXaliKF7Q8lZCJV6IizQyvYQ6zRLWBW8LZYuMC/J0TuylgsZhl2roaExs3qA==" saltValue="mIasvRCGTfYUReNh/a/MJQ==" spinCount="100000" sheet="1" objects="1" scenarios="1"/>
  <hyperlinks>
    <hyperlink ref="B7" r:id="rId1" xr:uid="{641FA0FD-B6D6-42B3-9E80-3C077BFE96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2025-11-29T09:53:38Z</dcterms:created>
  <dcterms:modified xsi:type="dcterms:W3CDTF">2025-12-07T10:34:21Z</dcterms:modified>
  <cp:category/>
  <cp:contentStatus/>
</cp:coreProperties>
</file>