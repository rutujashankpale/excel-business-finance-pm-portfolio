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812EC02F-EE69-4888-A268-117775847C82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BASIC CALCULATION" sheetId="2" r:id="rId1"/>
    <sheet name="SALES DATA" sheetId="1" r:id="rId2"/>
    <sheet name="ABOUT" sheetId="3" state="hidden" r:id="rId3"/>
  </sheets>
  <definedNames>
    <definedName name="_xlnm._FilterDatabase" localSheetId="1" hidden="1">'SALES DATA'!$A$4:$I$4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1" l="1"/>
  <c r="P30" i="1"/>
  <c r="P29" i="1"/>
  <c r="N33" i="1"/>
  <c r="N32" i="1"/>
  <c r="O30" i="1"/>
  <c r="O31" i="1"/>
  <c r="O29" i="1"/>
  <c r="N31" i="1"/>
  <c r="N30" i="1"/>
  <c r="N29" i="1"/>
  <c r="G55" i="1"/>
  <c r="N16" i="1"/>
  <c r="N17" i="1"/>
  <c r="N18" i="1"/>
  <c r="N19" i="1"/>
  <c r="N20" i="1"/>
  <c r="N21" i="1"/>
  <c r="N22" i="1"/>
  <c r="N23" i="1"/>
  <c r="N24" i="1"/>
  <c r="N25" i="1"/>
  <c r="N15" i="1"/>
  <c r="N7" i="1"/>
  <c r="N8" i="1"/>
  <c r="N9" i="1"/>
  <c r="N10" i="1"/>
  <c r="N6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L4" i="2"/>
  <c r="I5" i="2"/>
  <c r="I6" i="2"/>
  <c r="I4" i="2"/>
  <c r="E6" i="2"/>
  <c r="B7" i="2"/>
  <c r="I55" i="1" l="1"/>
</calcChain>
</file>

<file path=xl/sharedStrings.xml><?xml version="1.0" encoding="utf-8"?>
<sst xmlns="http://schemas.openxmlformats.org/spreadsheetml/2006/main" count="262" uniqueCount="80">
  <si>
    <t>ADDITION</t>
  </si>
  <si>
    <t>SUBTRACTION</t>
  </si>
  <si>
    <t>MULTIPLICATION</t>
  </si>
  <si>
    <t>DIVISION</t>
  </si>
  <si>
    <t>Expenses</t>
  </si>
  <si>
    <t>Inventory</t>
  </si>
  <si>
    <t>Units Sold</t>
  </si>
  <si>
    <t>Price/Unit</t>
  </si>
  <si>
    <t>Total</t>
  </si>
  <si>
    <t>Annual Salary</t>
  </si>
  <si>
    <t>Coffee</t>
  </si>
  <si>
    <t>Bought</t>
  </si>
  <si>
    <t>Monthly Salary</t>
  </si>
  <si>
    <t>Supermarket</t>
  </si>
  <si>
    <t>Sold</t>
  </si>
  <si>
    <t>Gasoline</t>
  </si>
  <si>
    <t>Stock</t>
  </si>
  <si>
    <t>StyleCraft Fashion India Pvt. Ltd.</t>
  </si>
  <si>
    <t>Products  : T-Shirts , Jeans , Jackets ,Sarees , Kurtas</t>
  </si>
  <si>
    <t>Sr . No.</t>
  </si>
  <si>
    <t>Model</t>
  </si>
  <si>
    <t>Order/Date</t>
  </si>
  <si>
    <t>Month</t>
  </si>
  <si>
    <t>Size</t>
  </si>
  <si>
    <t>Colour</t>
  </si>
  <si>
    <t>Number Of Units</t>
  </si>
  <si>
    <t>T-Shirt</t>
  </si>
  <si>
    <t>Jan</t>
  </si>
  <si>
    <t>M</t>
  </si>
  <si>
    <t>Black</t>
  </si>
  <si>
    <t>Product</t>
  </si>
  <si>
    <t>Jeans</t>
  </si>
  <si>
    <t>Blue</t>
  </si>
  <si>
    <t>Jacket</t>
  </si>
  <si>
    <t>L</t>
  </si>
  <si>
    <t>Grey</t>
  </si>
  <si>
    <t>Saree</t>
  </si>
  <si>
    <t>Free</t>
  </si>
  <si>
    <t>Red</t>
  </si>
  <si>
    <t>Kurta</t>
  </si>
  <si>
    <t>XL</t>
  </si>
  <si>
    <t>White</t>
  </si>
  <si>
    <t>S</t>
  </si>
  <si>
    <t>Pink</t>
  </si>
  <si>
    <t>COLOUR</t>
  </si>
  <si>
    <t>Light Blue</t>
  </si>
  <si>
    <t>Gray</t>
  </si>
  <si>
    <t>saree</t>
  </si>
  <si>
    <t>MultiColour</t>
  </si>
  <si>
    <t>Multicolour</t>
  </si>
  <si>
    <t>Feb</t>
  </si>
  <si>
    <t>Green</t>
  </si>
  <si>
    <t>Orange</t>
  </si>
  <si>
    <t>Light Pink</t>
  </si>
  <si>
    <t>MONTH</t>
  </si>
  <si>
    <t>SUM</t>
  </si>
  <si>
    <t>SUMIF</t>
  </si>
  <si>
    <t>PERCENTAGE</t>
  </si>
  <si>
    <t>Mar</t>
  </si>
  <si>
    <t>light Pink</t>
  </si>
  <si>
    <t>TOTAL</t>
  </si>
  <si>
    <t>AVERAGE</t>
  </si>
  <si>
    <t>XXL</t>
  </si>
  <si>
    <t>Purple</t>
  </si>
  <si>
    <t>l</t>
  </si>
  <si>
    <t>FIELD</t>
  </si>
  <si>
    <t>DETAILS</t>
  </si>
  <si>
    <t>AUTHOR</t>
  </si>
  <si>
    <t>RUTUJA  SANTOSH SHANKPALE</t>
  </si>
  <si>
    <t>PROJECT TITLE</t>
  </si>
  <si>
    <t>GUIDED PROJECT: USING BASIC FORMULAS AND FUNCTIONS IN MICROSOFT EXCEL</t>
  </si>
  <si>
    <t>COURSE/SOURCE</t>
  </si>
  <si>
    <t>COURSERA</t>
  </si>
  <si>
    <t>INSTRUCTOR</t>
  </si>
  <si>
    <t>PAULA DEL REY</t>
  </si>
  <si>
    <t>CREATED ON</t>
  </si>
  <si>
    <t>CONTACT</t>
  </si>
  <si>
    <t>www.linkedin.com/in/rutujashankpale</t>
  </si>
  <si>
    <t>COPYRIGHT</t>
  </si>
  <si>
    <t>© 2025 RUTUJA SHANKPALE. ORIGINAL WORK.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</si>
</sst>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>
    <font>
      <sz val="11"/>
      <color theme="1"/>
      <name val="Aptos Narrow"/>
      <family val="2"/>
      <scheme val="minor"/>
    </font>
    <font>
      <b/>
      <sz val="16"/>
      <color theme="9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3" borderId="1" xfId="0" applyFill="1" applyBorder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/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/>
    <xf numFmtId="14" fontId="0" fillId="0" borderId="5" xfId="0" applyNumberFormat="1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  <xf numFmtId="164" fontId="0" fillId="0" borderId="5" xfId="0" applyNumberFormat="1" applyBorder="1"/>
    <xf numFmtId="0" fontId="2" fillId="0" borderId="4" xfId="0" applyFont="1" applyBorder="1"/>
    <xf numFmtId="0" fontId="0" fillId="0" borderId="6" xfId="0" applyBorder="1"/>
    <xf numFmtId="0" fontId="2" fillId="0" borderId="7" xfId="0" applyFont="1" applyBorder="1"/>
    <xf numFmtId="164" fontId="0" fillId="0" borderId="8" xfId="0" applyNumberFormat="1" applyBorder="1"/>
    <xf numFmtId="164" fontId="0" fillId="0" borderId="9" xfId="0" applyNumberFormat="1" applyBorder="1"/>
    <xf numFmtId="10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15" fontId="5" fillId="0" borderId="0" xfId="0" applyNumberFormat="1" applyFont="1" applyAlignment="1">
      <alignment horizontal="left"/>
    </xf>
    <xf numFmtId="0" fontId="6" fillId="0" borderId="0" xfId="1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22">
    <dxf>
      <numFmt numFmtId="164" formatCode="&quot;₹&quot;\ #,##0.0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₹&quot;\ #,##0.0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numFmt numFmtId="164" formatCode="&quot;₹&quot;\ 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₹&quot;\ #,##0.0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B27AD2-A2A7-4339-A4FC-0B7275AA6658}" name="Table1" displayName="Table1" ref="A4:I55" totalsRowCount="1" headerRowDxfId="21" headerRowBorderDxfId="19" tableBorderDxfId="20" totalsRowBorderDxfId="18">
  <autoFilter ref="A4:I54" xr:uid="{B0B27AD2-A2A7-4339-A4FC-0B7275AA66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FF404DA-E20C-4004-9339-9961237104FD}" name="Sr . No." totalsRowLabel="TOTAL" dataDxfId="16" totalsRowDxfId="17"/>
    <tableColumn id="2" xr3:uid="{3DA75D14-DC2E-46DB-8C27-99BCF8725016}" name="Model" dataDxfId="14" totalsRowDxfId="15"/>
    <tableColumn id="3" xr3:uid="{9CFEE25B-CC48-4FC8-99E7-7ECF1DC9733D}" name="Order/Date" dataDxfId="12" totalsRowDxfId="13"/>
    <tableColumn id="4" xr3:uid="{C9D2240B-B9FC-4751-B791-7E8E9DCA9DC9}" name="Month" dataDxfId="10" totalsRowDxfId="11"/>
    <tableColumn id="5" xr3:uid="{EDB01CD1-5984-470D-A698-0AFAAD221133}" name="Size" dataDxfId="8" totalsRowDxfId="9"/>
    <tableColumn id="6" xr3:uid="{9740F7AA-84C4-4412-A718-9C799B49CE4C}" name="Colour" dataDxfId="6" totalsRowDxfId="7"/>
    <tableColumn id="7" xr3:uid="{40E19420-B36A-4D41-AC3F-283798A01AFD}" name="Number Of Units" totalsRowFunction="custom" dataDxfId="4" totalsRowDxfId="5">
      <totalsRowFormula>SUM(G5:G54)</totalsRowFormula>
    </tableColumn>
    <tableColumn id="8" xr3:uid="{F902FC74-B3AD-41E6-ADDA-CF858FD9694C}" name="Price/Unit" dataDxfId="2" totalsRowDxfId="3"/>
    <tableColumn id="9" xr3:uid="{95B96501-8E41-4EE1-BC58-75E6C999DC88}" name="Total" totalsRowFunction="custom" dataDxfId="0" totalsRowDxfId="1">
      <calculatedColumnFormula>Table1[[#This Row],[Number Of Units]]*Table1[[#This Row],[Price/Unit]]</calculatedColumnFormula>
      <totalsRowFormula>SUM(I5:I54)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rutujashankp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E54A-FA50-497D-A8C3-D3F3C5053BC2}">
  <dimension ref="A1:M7"/>
  <sheetViews>
    <sheetView workbookViewId="0">
      <selection activeCell="G23" sqref="G23"/>
    </sheetView>
  </sheetViews>
  <sheetFormatPr defaultRowHeight="15"/>
  <cols>
    <col min="1" max="1" width="11.85546875" bestFit="1" customWidth="1"/>
    <col min="4" max="4" width="14.42578125" bestFit="1" customWidth="1"/>
    <col min="7" max="7" width="14.5703125" bestFit="1" customWidth="1"/>
    <col min="8" max="8" width="9.42578125" bestFit="1" customWidth="1"/>
    <col min="11" max="11" width="13.42578125" bestFit="1" customWidth="1"/>
    <col min="12" max="12" width="10.42578125" customWidth="1"/>
  </cols>
  <sheetData>
    <row r="1" spans="1:13">
      <c r="A1" s="33" t="s">
        <v>0</v>
      </c>
      <c r="B1" s="33"/>
      <c r="D1" s="33" t="s">
        <v>1</v>
      </c>
      <c r="E1" s="33"/>
      <c r="G1" s="33" t="s">
        <v>2</v>
      </c>
      <c r="H1" s="33"/>
      <c r="I1" s="33"/>
      <c r="K1" s="33" t="s">
        <v>3</v>
      </c>
      <c r="L1" s="33"/>
      <c r="M1" s="33"/>
    </row>
    <row r="3" spans="1:13">
      <c r="A3" s="6" t="s">
        <v>4</v>
      </c>
      <c r="D3" s="6" t="s">
        <v>5</v>
      </c>
      <c r="G3" s="6" t="s">
        <v>6</v>
      </c>
      <c r="H3" s="6" t="s">
        <v>7</v>
      </c>
      <c r="I3" s="6" t="s">
        <v>8</v>
      </c>
      <c r="K3" s="1" t="s">
        <v>9</v>
      </c>
      <c r="L3" s="1">
        <v>180000</v>
      </c>
    </row>
    <row r="4" spans="1:13">
      <c r="A4" s="2" t="s">
        <v>10</v>
      </c>
      <c r="B4" s="1">
        <v>1200</v>
      </c>
      <c r="D4" s="2" t="s">
        <v>11</v>
      </c>
      <c r="E4" s="1">
        <v>15000</v>
      </c>
      <c r="G4" s="1">
        <v>5</v>
      </c>
      <c r="H4" s="1">
        <v>170</v>
      </c>
      <c r="I4" s="5">
        <f>G4*H4</f>
        <v>850</v>
      </c>
      <c r="K4" s="1" t="s">
        <v>12</v>
      </c>
      <c r="L4" s="5">
        <f>L3/12</f>
        <v>15000</v>
      </c>
    </row>
    <row r="5" spans="1:13">
      <c r="A5" s="1" t="s">
        <v>13</v>
      </c>
      <c r="B5" s="1">
        <v>5126</v>
      </c>
      <c r="D5" s="1" t="s">
        <v>14</v>
      </c>
      <c r="E5" s="1">
        <v>7540</v>
      </c>
      <c r="G5" s="1">
        <v>12</v>
      </c>
      <c r="H5" s="1">
        <v>640</v>
      </c>
      <c r="I5" s="5">
        <f t="shared" ref="I5:I6" si="0">G5*H5</f>
        <v>7680</v>
      </c>
    </row>
    <row r="6" spans="1:13">
      <c r="A6" s="4" t="s">
        <v>15</v>
      </c>
      <c r="B6" s="4">
        <v>4800</v>
      </c>
      <c r="D6" s="1" t="s">
        <v>16</v>
      </c>
      <c r="E6" s="5">
        <f>E4-E5</f>
        <v>7460</v>
      </c>
      <c r="G6" s="1">
        <v>6</v>
      </c>
      <c r="H6" s="1">
        <v>250</v>
      </c>
      <c r="I6" s="5">
        <f t="shared" si="0"/>
        <v>1500</v>
      </c>
    </row>
    <row r="7" spans="1:13">
      <c r="A7" s="1" t="s">
        <v>8</v>
      </c>
      <c r="B7" s="5">
        <f>B4+B5+B6</f>
        <v>11126</v>
      </c>
    </row>
  </sheetData>
  <sheetProtection algorithmName="SHA-512" hashValue="Dz0Xhxog4pR4422x6II3Tcvu6zk29+amDW3OeOHk8cPh35m5UB0aFaceQg4bMUQ3cXP9N16axDPRH6s63rtwxg==" saltValue="i/6viLSXKdeC2tTRQ4pYtg==" spinCount="100000" sheet="1" objects="1" scenarios="1"/>
  <mergeCells count="4">
    <mergeCell ref="A1:B1"/>
    <mergeCell ref="D1:E1"/>
    <mergeCell ref="G1:I1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topLeftCell="A23" workbookViewId="0">
      <selection activeCell="N31" sqref="N31"/>
    </sheetView>
  </sheetViews>
  <sheetFormatPr defaultRowHeight="15"/>
  <cols>
    <col min="1" max="1" width="9.42578125" bestFit="1" customWidth="1"/>
    <col min="2" max="2" width="9.85546875" customWidth="1"/>
    <col min="3" max="3" width="13.140625" bestFit="1" customWidth="1"/>
    <col min="5" max="5" width="9.140625" style="7"/>
    <col min="6" max="6" width="11" bestFit="1" customWidth="1"/>
    <col min="7" max="7" width="17.85546875" style="8" bestFit="1" customWidth="1"/>
    <col min="8" max="8" width="12.140625" style="9" bestFit="1" customWidth="1"/>
    <col min="9" max="9" width="12.5703125" customWidth="1"/>
    <col min="13" max="13" width="10.5703125" bestFit="1" customWidth="1"/>
    <col min="14" max="14" width="12.85546875" customWidth="1"/>
    <col min="15" max="15" width="13.140625" customWidth="1"/>
    <col min="16" max="16" width="12.7109375" bestFit="1" customWidth="1"/>
  </cols>
  <sheetData>
    <row r="1" spans="1:14" ht="21">
      <c r="B1" s="34" t="s">
        <v>17</v>
      </c>
      <c r="C1" s="34"/>
      <c r="D1" s="34"/>
      <c r="E1" s="34"/>
      <c r="F1" s="34"/>
      <c r="G1" s="34"/>
      <c r="H1" s="34"/>
      <c r="I1" s="34"/>
    </row>
    <row r="2" spans="1:14" ht="15" customHeight="1">
      <c r="B2" s="35" t="s">
        <v>18</v>
      </c>
      <c r="C2" s="35"/>
      <c r="D2" s="35"/>
      <c r="E2" s="35"/>
      <c r="F2" s="35"/>
      <c r="G2" s="35"/>
      <c r="H2" s="35"/>
      <c r="I2" s="35"/>
    </row>
    <row r="4" spans="1:14">
      <c r="A4" s="22" t="s">
        <v>19</v>
      </c>
      <c r="B4" s="14" t="s">
        <v>20</v>
      </c>
      <c r="C4" s="14" t="s">
        <v>21</v>
      </c>
      <c r="D4" s="14" t="s">
        <v>22</v>
      </c>
      <c r="E4" s="15" t="s">
        <v>23</v>
      </c>
      <c r="F4" s="14" t="s">
        <v>24</v>
      </c>
      <c r="G4" s="16" t="s">
        <v>25</v>
      </c>
      <c r="H4" s="17" t="s">
        <v>7</v>
      </c>
      <c r="I4" s="24" t="s">
        <v>8</v>
      </c>
    </row>
    <row r="5" spans="1:14">
      <c r="A5" s="3">
        <v>1</v>
      </c>
      <c r="B5" s="1" t="s">
        <v>26</v>
      </c>
      <c r="C5" s="10">
        <v>45659</v>
      </c>
      <c r="D5" s="1" t="s">
        <v>27</v>
      </c>
      <c r="E5" s="11" t="s">
        <v>28</v>
      </c>
      <c r="F5" s="1" t="s">
        <v>29</v>
      </c>
      <c r="G5" s="12">
        <v>2</v>
      </c>
      <c r="H5" s="13">
        <v>499</v>
      </c>
      <c r="I5" s="25">
        <f>Table1[[#This Row],[Number Of Units]]*Table1[[#This Row],[Price/Unit]]</f>
        <v>998</v>
      </c>
      <c r="M5" t="s">
        <v>30</v>
      </c>
    </row>
    <row r="6" spans="1:14">
      <c r="A6" s="3">
        <v>2</v>
      </c>
      <c r="B6" s="1" t="s">
        <v>31</v>
      </c>
      <c r="C6" s="10">
        <v>45660</v>
      </c>
      <c r="D6" s="1" t="s">
        <v>27</v>
      </c>
      <c r="E6" s="11">
        <v>32</v>
      </c>
      <c r="F6" s="1" t="s">
        <v>32</v>
      </c>
      <c r="G6" s="12">
        <v>1</v>
      </c>
      <c r="H6" s="13">
        <v>1299</v>
      </c>
      <c r="I6" s="25">
        <f>Table1[[#This Row],[Number Of Units]]*Table1[[#This Row],[Price/Unit]]</f>
        <v>1299</v>
      </c>
      <c r="M6" t="s">
        <v>26</v>
      </c>
      <c r="N6">
        <f>SUMIF(B5:B54,M6,G5:G54)</f>
        <v>93</v>
      </c>
    </row>
    <row r="7" spans="1:14">
      <c r="A7" s="3">
        <v>3</v>
      </c>
      <c r="B7" s="1" t="s">
        <v>33</v>
      </c>
      <c r="C7" s="10">
        <v>45661</v>
      </c>
      <c r="D7" s="1" t="s">
        <v>27</v>
      </c>
      <c r="E7" s="11" t="s">
        <v>34</v>
      </c>
      <c r="F7" s="1" t="s">
        <v>35</v>
      </c>
      <c r="G7" s="12">
        <v>1</v>
      </c>
      <c r="H7" s="13">
        <v>2699</v>
      </c>
      <c r="I7" s="25">
        <f>Table1[[#This Row],[Number Of Units]]*Table1[[#This Row],[Price/Unit]]</f>
        <v>2699</v>
      </c>
      <c r="M7" t="s">
        <v>31</v>
      </c>
      <c r="N7">
        <f t="shared" ref="N7:N10" si="0">SUMIF(B6:B55,M7,G6:G55)</f>
        <v>95</v>
      </c>
    </row>
    <row r="8" spans="1:14">
      <c r="A8" s="3">
        <v>4</v>
      </c>
      <c r="B8" s="1" t="s">
        <v>36</v>
      </c>
      <c r="C8" s="10">
        <v>45662</v>
      </c>
      <c r="D8" s="1" t="s">
        <v>27</v>
      </c>
      <c r="E8" s="11" t="s">
        <v>37</v>
      </c>
      <c r="F8" s="1" t="s">
        <v>38</v>
      </c>
      <c r="G8" s="12">
        <v>1</v>
      </c>
      <c r="H8" s="13">
        <v>4499</v>
      </c>
      <c r="I8" s="25">
        <f>Table1[[#This Row],[Number Of Units]]*Table1[[#This Row],[Price/Unit]]</f>
        <v>4499</v>
      </c>
      <c r="M8" t="s">
        <v>33</v>
      </c>
      <c r="N8">
        <f t="shared" si="0"/>
        <v>50</v>
      </c>
    </row>
    <row r="9" spans="1:14">
      <c r="A9" s="3">
        <v>5</v>
      </c>
      <c r="B9" s="1" t="s">
        <v>39</v>
      </c>
      <c r="C9" s="10">
        <v>45663</v>
      </c>
      <c r="D9" s="1" t="s">
        <v>27</v>
      </c>
      <c r="E9" s="11" t="s">
        <v>40</v>
      </c>
      <c r="F9" s="1" t="s">
        <v>41</v>
      </c>
      <c r="G9" s="12">
        <v>2</v>
      </c>
      <c r="H9" s="13">
        <v>799</v>
      </c>
      <c r="I9" s="25">
        <f>Table1[[#This Row],[Number Of Units]]*Table1[[#This Row],[Price/Unit]]</f>
        <v>1598</v>
      </c>
      <c r="M9" t="s">
        <v>36</v>
      </c>
      <c r="N9">
        <f t="shared" si="0"/>
        <v>74</v>
      </c>
    </row>
    <row r="10" spans="1:14">
      <c r="A10" s="3">
        <v>6</v>
      </c>
      <c r="B10" s="1" t="s">
        <v>26</v>
      </c>
      <c r="C10" s="10">
        <v>45665</v>
      </c>
      <c r="D10" s="1" t="s">
        <v>27</v>
      </c>
      <c r="E10" s="11" t="s">
        <v>42</v>
      </c>
      <c r="F10" s="1" t="s">
        <v>32</v>
      </c>
      <c r="G10" s="12">
        <v>4</v>
      </c>
      <c r="H10" s="13">
        <v>399</v>
      </c>
      <c r="I10" s="25">
        <f>Table1[[#This Row],[Number Of Units]]*Table1[[#This Row],[Price/Unit]]</f>
        <v>1596</v>
      </c>
      <c r="M10" t="s">
        <v>39</v>
      </c>
      <c r="N10">
        <f t="shared" si="0"/>
        <v>121</v>
      </c>
    </row>
    <row r="11" spans="1:14">
      <c r="A11" s="3">
        <v>7</v>
      </c>
      <c r="B11" s="1" t="s">
        <v>31</v>
      </c>
      <c r="C11" s="10">
        <v>45668</v>
      </c>
      <c r="D11" s="1" t="s">
        <v>27</v>
      </c>
      <c r="E11" s="11">
        <v>30</v>
      </c>
      <c r="F11" s="1" t="s">
        <v>29</v>
      </c>
      <c r="G11" s="12">
        <v>3</v>
      </c>
      <c r="H11" s="13">
        <v>1049</v>
      </c>
      <c r="I11" s="25">
        <f>Table1[[#This Row],[Number Of Units]]*Table1[[#This Row],[Price/Unit]]</f>
        <v>3147</v>
      </c>
    </row>
    <row r="12" spans="1:14">
      <c r="A12" s="3">
        <v>8</v>
      </c>
      <c r="B12" s="1" t="s">
        <v>33</v>
      </c>
      <c r="C12" s="10">
        <v>45669</v>
      </c>
      <c r="D12" s="1" t="s">
        <v>27</v>
      </c>
      <c r="E12" s="11" t="s">
        <v>28</v>
      </c>
      <c r="F12" s="1" t="s">
        <v>29</v>
      </c>
      <c r="G12" s="12">
        <v>5</v>
      </c>
      <c r="H12" s="13">
        <v>699</v>
      </c>
      <c r="I12" s="25">
        <f>Table1[[#This Row],[Number Of Units]]*Table1[[#This Row],[Price/Unit]]</f>
        <v>3495</v>
      </c>
    </row>
    <row r="13" spans="1:14">
      <c r="A13" s="3">
        <v>9</v>
      </c>
      <c r="B13" s="1" t="s">
        <v>36</v>
      </c>
      <c r="C13" s="10">
        <v>45672</v>
      </c>
      <c r="D13" s="1" t="s">
        <v>27</v>
      </c>
      <c r="E13" s="11" t="s">
        <v>37</v>
      </c>
      <c r="F13" s="1" t="s">
        <v>43</v>
      </c>
      <c r="G13" s="12">
        <v>4</v>
      </c>
      <c r="H13" s="13">
        <v>1249</v>
      </c>
      <c r="I13" s="25">
        <f>Table1[[#This Row],[Number Of Units]]*Table1[[#This Row],[Price/Unit]]</f>
        <v>4996</v>
      </c>
    </row>
    <row r="14" spans="1:14">
      <c r="A14" s="3">
        <v>10</v>
      </c>
      <c r="B14" s="1" t="s">
        <v>39</v>
      </c>
      <c r="C14" s="10">
        <v>45672</v>
      </c>
      <c r="D14" s="1" t="s">
        <v>27</v>
      </c>
      <c r="E14" s="11" t="s">
        <v>40</v>
      </c>
      <c r="F14" s="1" t="s">
        <v>29</v>
      </c>
      <c r="G14" s="12">
        <v>7</v>
      </c>
      <c r="H14" s="13">
        <v>1699</v>
      </c>
      <c r="I14" s="25">
        <f>Table1[[#This Row],[Number Of Units]]*Table1[[#This Row],[Price/Unit]]</f>
        <v>11893</v>
      </c>
      <c r="M14" t="s">
        <v>44</v>
      </c>
    </row>
    <row r="15" spans="1:14">
      <c r="A15" s="3">
        <v>11</v>
      </c>
      <c r="B15" s="1" t="s">
        <v>26</v>
      </c>
      <c r="C15" s="10">
        <v>45673</v>
      </c>
      <c r="D15" s="1" t="s">
        <v>27</v>
      </c>
      <c r="E15" s="11" t="s">
        <v>40</v>
      </c>
      <c r="F15" s="1" t="s">
        <v>35</v>
      </c>
      <c r="G15" s="12">
        <v>5</v>
      </c>
      <c r="H15" s="13">
        <v>699</v>
      </c>
      <c r="I15" s="25">
        <f>Table1[[#This Row],[Number Of Units]]*Table1[[#This Row],[Price/Unit]]</f>
        <v>3495</v>
      </c>
      <c r="M15" t="s">
        <v>29</v>
      </c>
      <c r="N15">
        <f>SUMIF(F5:F54,M15,G5:G54)</f>
        <v>109</v>
      </c>
    </row>
    <row r="16" spans="1:14">
      <c r="A16" s="3">
        <v>12</v>
      </c>
      <c r="B16" s="1" t="s">
        <v>31</v>
      </c>
      <c r="C16" s="10">
        <v>45673</v>
      </c>
      <c r="D16" s="1" t="s">
        <v>27</v>
      </c>
      <c r="E16" s="11">
        <v>34</v>
      </c>
      <c r="F16" s="1" t="s">
        <v>45</v>
      </c>
      <c r="G16" s="12">
        <v>8</v>
      </c>
      <c r="H16" s="13">
        <v>1599</v>
      </c>
      <c r="I16" s="25">
        <f>Table1[[#This Row],[Number Of Units]]*Table1[[#This Row],[Price/Unit]]</f>
        <v>12792</v>
      </c>
      <c r="M16" t="s">
        <v>32</v>
      </c>
      <c r="N16">
        <f t="shared" ref="N16:N25" si="1">SUMIF(F6:F55,M16,G6:G55)</f>
        <v>57</v>
      </c>
    </row>
    <row r="17" spans="1:16">
      <c r="A17" s="3">
        <v>13</v>
      </c>
      <c r="B17" s="1" t="s">
        <v>33</v>
      </c>
      <c r="C17" s="10">
        <v>45681</v>
      </c>
      <c r="D17" s="1" t="s">
        <v>27</v>
      </c>
      <c r="E17" s="11" t="s">
        <v>40</v>
      </c>
      <c r="F17" s="1" t="s">
        <v>41</v>
      </c>
      <c r="G17" s="12">
        <v>4</v>
      </c>
      <c r="H17" s="13">
        <v>499</v>
      </c>
      <c r="I17" s="25">
        <f>Table1[[#This Row],[Number Of Units]]*Table1[[#This Row],[Price/Unit]]</f>
        <v>1996</v>
      </c>
      <c r="M17" t="s">
        <v>46</v>
      </c>
      <c r="N17">
        <f t="shared" si="1"/>
        <v>0</v>
      </c>
    </row>
    <row r="18" spans="1:16">
      <c r="A18" s="3">
        <v>14</v>
      </c>
      <c r="B18" s="1" t="s">
        <v>47</v>
      </c>
      <c r="C18" s="10">
        <v>45682</v>
      </c>
      <c r="D18" s="1" t="s">
        <v>27</v>
      </c>
      <c r="E18" s="11" t="s">
        <v>37</v>
      </c>
      <c r="F18" s="1" t="s">
        <v>48</v>
      </c>
      <c r="G18" s="12">
        <v>12</v>
      </c>
      <c r="H18" s="13">
        <v>1789</v>
      </c>
      <c r="I18" s="25">
        <f>Table1[[#This Row],[Number Of Units]]*Table1[[#This Row],[Price/Unit]]</f>
        <v>21468</v>
      </c>
      <c r="M18" t="s">
        <v>38</v>
      </c>
      <c r="N18">
        <f t="shared" si="1"/>
        <v>14</v>
      </c>
    </row>
    <row r="19" spans="1:16">
      <c r="A19" s="3">
        <v>15</v>
      </c>
      <c r="B19" s="1" t="s">
        <v>39</v>
      </c>
      <c r="C19" s="10">
        <v>45686</v>
      </c>
      <c r="D19" s="1" t="s">
        <v>27</v>
      </c>
      <c r="E19" s="11" t="s">
        <v>28</v>
      </c>
      <c r="F19" s="1" t="s">
        <v>48</v>
      </c>
      <c r="G19" s="12">
        <v>15</v>
      </c>
      <c r="H19" s="13">
        <v>899</v>
      </c>
      <c r="I19" s="25">
        <f>Table1[[#This Row],[Number Of Units]]*Table1[[#This Row],[Price/Unit]]</f>
        <v>13485</v>
      </c>
      <c r="M19" t="s">
        <v>41</v>
      </c>
      <c r="N19">
        <f t="shared" si="1"/>
        <v>48</v>
      </c>
    </row>
    <row r="20" spans="1:16">
      <c r="A20" s="3">
        <v>16</v>
      </c>
      <c r="B20" s="1" t="s">
        <v>26</v>
      </c>
      <c r="C20" s="10">
        <v>45687</v>
      </c>
      <c r="D20" s="1" t="s">
        <v>27</v>
      </c>
      <c r="E20" s="11" t="s">
        <v>42</v>
      </c>
      <c r="F20" s="1" t="s">
        <v>41</v>
      </c>
      <c r="G20" s="12">
        <v>6</v>
      </c>
      <c r="H20" s="13">
        <v>899</v>
      </c>
      <c r="I20" s="25">
        <f>Table1[[#This Row],[Number Of Units]]*Table1[[#This Row],[Price/Unit]]</f>
        <v>5394</v>
      </c>
      <c r="M20" t="s">
        <v>45</v>
      </c>
      <c r="N20">
        <f t="shared" si="1"/>
        <v>33</v>
      </c>
    </row>
    <row r="21" spans="1:16">
      <c r="A21" s="3">
        <v>17</v>
      </c>
      <c r="B21" s="1" t="s">
        <v>31</v>
      </c>
      <c r="C21" s="10">
        <v>45687</v>
      </c>
      <c r="D21" s="1" t="s">
        <v>27</v>
      </c>
      <c r="E21" s="11">
        <v>28</v>
      </c>
      <c r="F21" s="1" t="s">
        <v>45</v>
      </c>
      <c r="G21" s="12">
        <v>12</v>
      </c>
      <c r="H21" s="13">
        <v>799</v>
      </c>
      <c r="I21" s="25">
        <f>Table1[[#This Row],[Number Of Units]]*Table1[[#This Row],[Price/Unit]]</f>
        <v>9588</v>
      </c>
      <c r="M21" t="s">
        <v>49</v>
      </c>
      <c r="N21">
        <f t="shared" si="1"/>
        <v>94</v>
      </c>
    </row>
    <row r="22" spans="1:16">
      <c r="A22" s="3">
        <v>18</v>
      </c>
      <c r="B22" s="1" t="s">
        <v>33</v>
      </c>
      <c r="C22" s="10">
        <v>45689</v>
      </c>
      <c r="D22" s="1" t="s">
        <v>50</v>
      </c>
      <c r="E22" s="11" t="s">
        <v>34</v>
      </c>
      <c r="F22" s="1" t="s">
        <v>29</v>
      </c>
      <c r="G22" s="12">
        <v>5</v>
      </c>
      <c r="H22" s="13">
        <v>899</v>
      </c>
      <c r="I22" s="25">
        <f>Table1[[#This Row],[Number Of Units]]*Table1[[#This Row],[Price/Unit]]</f>
        <v>4495</v>
      </c>
      <c r="M22" t="s">
        <v>51</v>
      </c>
      <c r="N22">
        <f t="shared" si="1"/>
        <v>18</v>
      </c>
    </row>
    <row r="23" spans="1:16">
      <c r="A23" s="3">
        <v>19</v>
      </c>
      <c r="B23" s="1" t="s">
        <v>36</v>
      </c>
      <c r="C23" s="10">
        <v>45690</v>
      </c>
      <c r="D23" s="1" t="s">
        <v>50</v>
      </c>
      <c r="E23" s="11" t="s">
        <v>37</v>
      </c>
      <c r="F23" s="1" t="s">
        <v>51</v>
      </c>
      <c r="G23" s="12">
        <v>2</v>
      </c>
      <c r="H23" s="13">
        <v>1299</v>
      </c>
      <c r="I23" s="25">
        <f>Table1[[#This Row],[Number Of Units]]*Table1[[#This Row],[Price/Unit]]</f>
        <v>2598</v>
      </c>
      <c r="M23" t="s">
        <v>52</v>
      </c>
      <c r="N23">
        <f t="shared" si="1"/>
        <v>19</v>
      </c>
    </row>
    <row r="24" spans="1:16">
      <c r="A24" s="3">
        <v>20</v>
      </c>
      <c r="B24" s="1" t="s">
        <v>39</v>
      </c>
      <c r="C24" s="10">
        <v>45691</v>
      </c>
      <c r="D24" s="1" t="s">
        <v>50</v>
      </c>
      <c r="E24" s="11" t="s">
        <v>42</v>
      </c>
      <c r="F24" s="1" t="s">
        <v>51</v>
      </c>
      <c r="G24" s="12">
        <v>8</v>
      </c>
      <c r="H24" s="13">
        <v>799</v>
      </c>
      <c r="I24" s="25">
        <f>Table1[[#This Row],[Number Of Units]]*Table1[[#This Row],[Price/Unit]]</f>
        <v>6392</v>
      </c>
      <c r="M24" t="s">
        <v>43</v>
      </c>
      <c r="N24">
        <f t="shared" si="1"/>
        <v>12</v>
      </c>
    </row>
    <row r="25" spans="1:16">
      <c r="A25" s="3">
        <v>21</v>
      </c>
      <c r="B25" s="1" t="s">
        <v>26</v>
      </c>
      <c r="C25" s="10">
        <v>45692</v>
      </c>
      <c r="D25" s="1" t="s">
        <v>50</v>
      </c>
      <c r="E25" s="11" t="s">
        <v>28</v>
      </c>
      <c r="F25" s="1" t="s">
        <v>49</v>
      </c>
      <c r="G25" s="12">
        <v>12</v>
      </c>
      <c r="H25" s="13">
        <v>499</v>
      </c>
      <c r="I25" s="25">
        <f>Table1[[#This Row],[Number Of Units]]*Table1[[#This Row],[Price/Unit]]</f>
        <v>5988</v>
      </c>
      <c r="M25" t="s">
        <v>53</v>
      </c>
      <c r="N25">
        <f t="shared" si="1"/>
        <v>4</v>
      </c>
    </row>
    <row r="26" spans="1:16">
      <c r="A26" s="3">
        <v>22</v>
      </c>
      <c r="B26" s="1" t="s">
        <v>31</v>
      </c>
      <c r="C26" s="10">
        <v>45693</v>
      </c>
      <c r="D26" s="1" t="s">
        <v>50</v>
      </c>
      <c r="E26" s="11">
        <v>32</v>
      </c>
      <c r="F26" s="1" t="s">
        <v>29</v>
      </c>
      <c r="G26" s="12">
        <v>8</v>
      </c>
      <c r="H26" s="13">
        <v>899</v>
      </c>
      <c r="I26" s="25">
        <f>Table1[[#This Row],[Number Of Units]]*Table1[[#This Row],[Price/Unit]]</f>
        <v>7192</v>
      </c>
    </row>
    <row r="27" spans="1:16">
      <c r="A27" s="3">
        <v>23</v>
      </c>
      <c r="B27" s="1" t="s">
        <v>33</v>
      </c>
      <c r="C27" s="10">
        <v>45694</v>
      </c>
      <c r="D27" s="1" t="s">
        <v>50</v>
      </c>
      <c r="E27" s="11" t="s">
        <v>42</v>
      </c>
      <c r="F27" s="1" t="s">
        <v>29</v>
      </c>
      <c r="G27" s="12">
        <v>5</v>
      </c>
      <c r="H27" s="13">
        <v>899</v>
      </c>
      <c r="I27" s="25">
        <f>Table1[[#This Row],[Number Of Units]]*Table1[[#This Row],[Price/Unit]]</f>
        <v>4495</v>
      </c>
    </row>
    <row r="28" spans="1:16">
      <c r="A28" s="3">
        <v>24</v>
      </c>
      <c r="B28" s="1" t="s">
        <v>36</v>
      </c>
      <c r="C28" s="10">
        <v>45696</v>
      </c>
      <c r="D28" s="1" t="s">
        <v>50</v>
      </c>
      <c r="E28" s="11" t="s">
        <v>37</v>
      </c>
      <c r="F28" s="1" t="s">
        <v>45</v>
      </c>
      <c r="G28" s="12">
        <v>5</v>
      </c>
      <c r="H28" s="13">
        <v>1499</v>
      </c>
      <c r="I28" s="25">
        <f>Table1[[#This Row],[Number Of Units]]*Table1[[#This Row],[Price/Unit]]</f>
        <v>7495</v>
      </c>
      <c r="M28" t="s">
        <v>54</v>
      </c>
      <c r="N28" t="s">
        <v>55</v>
      </c>
      <c r="O28" t="s">
        <v>56</v>
      </c>
      <c r="P28" t="s">
        <v>57</v>
      </c>
    </row>
    <row r="29" spans="1:16">
      <c r="A29" s="3">
        <v>25</v>
      </c>
      <c r="B29" s="1" t="s">
        <v>39</v>
      </c>
      <c r="C29" s="10">
        <v>45699</v>
      </c>
      <c r="D29" s="1" t="s">
        <v>50</v>
      </c>
      <c r="E29" s="11" t="s">
        <v>28</v>
      </c>
      <c r="F29" s="1" t="s">
        <v>43</v>
      </c>
      <c r="G29" s="12">
        <v>12</v>
      </c>
      <c r="H29" s="13">
        <v>1200</v>
      </c>
      <c r="I29" s="25">
        <f>Table1[[#This Row],[Number Of Units]]*Table1[[#This Row],[Price/Unit]]</f>
        <v>14400</v>
      </c>
      <c r="M29" t="s">
        <v>27</v>
      </c>
      <c r="N29" s="9">
        <f>SUM(I5:I21)</f>
        <v>104438</v>
      </c>
      <c r="O29" s="9">
        <f>SUMIF(D5:D54,M29,I5:I54)</f>
        <v>104438</v>
      </c>
      <c r="P29" s="27">
        <f>(N29/N32)</f>
        <v>0.20463634422044091</v>
      </c>
    </row>
    <row r="30" spans="1:16">
      <c r="A30" s="3">
        <v>26</v>
      </c>
      <c r="B30" s="1" t="s">
        <v>26</v>
      </c>
      <c r="C30" s="10">
        <v>45700</v>
      </c>
      <c r="D30" s="1" t="s">
        <v>50</v>
      </c>
      <c r="E30" s="11" t="s">
        <v>40</v>
      </c>
      <c r="F30" s="1" t="s">
        <v>29</v>
      </c>
      <c r="G30" s="12">
        <v>14</v>
      </c>
      <c r="H30" s="13">
        <v>599</v>
      </c>
      <c r="I30" s="25">
        <f>Table1[[#This Row],[Number Of Units]]*Table1[[#This Row],[Price/Unit]]</f>
        <v>8386</v>
      </c>
      <c r="M30" t="s">
        <v>50</v>
      </c>
      <c r="N30" s="9">
        <f>SUM(I22:I36)</f>
        <v>132653</v>
      </c>
      <c r="O30" s="9">
        <f t="shared" ref="O30:O31" si="2">SUMIF(D6:D55,M30,I6:I55)</f>
        <v>132653</v>
      </c>
      <c r="P30" s="27">
        <f>N30/N32</f>
        <v>0.25992095760043421</v>
      </c>
    </row>
    <row r="31" spans="1:16">
      <c r="A31" s="3">
        <v>27</v>
      </c>
      <c r="B31" s="1" t="s">
        <v>31</v>
      </c>
      <c r="C31" s="10">
        <v>45703</v>
      </c>
      <c r="D31" s="1" t="s">
        <v>50</v>
      </c>
      <c r="E31" s="11">
        <v>28</v>
      </c>
      <c r="F31" s="1" t="s">
        <v>32</v>
      </c>
      <c r="G31" s="12">
        <v>14</v>
      </c>
      <c r="H31" s="13">
        <v>1489</v>
      </c>
      <c r="I31" s="25">
        <f>Table1[[#This Row],[Number Of Units]]*Table1[[#This Row],[Price/Unit]]</f>
        <v>20846</v>
      </c>
      <c r="M31" t="s">
        <v>58</v>
      </c>
      <c r="N31" s="9">
        <f>SUM(I37:I54)</f>
        <v>273268</v>
      </c>
      <c r="O31" s="9">
        <f t="shared" si="2"/>
        <v>273268</v>
      </c>
      <c r="P31" s="27">
        <f>N31/N32</f>
        <v>0.53544269817912493</v>
      </c>
    </row>
    <row r="32" spans="1:16">
      <c r="A32" s="3">
        <v>28</v>
      </c>
      <c r="B32" s="1" t="s">
        <v>33</v>
      </c>
      <c r="C32" s="10">
        <v>45703</v>
      </c>
      <c r="D32" s="1" t="s">
        <v>50</v>
      </c>
      <c r="E32" s="11" t="s">
        <v>28</v>
      </c>
      <c r="F32" s="1" t="s">
        <v>59</v>
      </c>
      <c r="G32" s="12">
        <v>4</v>
      </c>
      <c r="H32" s="13">
        <v>799</v>
      </c>
      <c r="I32" s="25">
        <f>Table1[[#This Row],[Number Of Units]]*Table1[[#This Row],[Price/Unit]]</f>
        <v>3196</v>
      </c>
      <c r="M32" t="s">
        <v>60</v>
      </c>
      <c r="N32" s="9">
        <f>SUM(N29:N31)</f>
        <v>510359</v>
      </c>
    </row>
    <row r="33" spans="1:14">
      <c r="A33" s="3">
        <v>29</v>
      </c>
      <c r="B33" s="1" t="s">
        <v>36</v>
      </c>
      <c r="C33" s="10">
        <v>45704</v>
      </c>
      <c r="D33" s="1" t="s">
        <v>50</v>
      </c>
      <c r="E33" s="11" t="s">
        <v>37</v>
      </c>
      <c r="F33" s="1" t="s">
        <v>29</v>
      </c>
      <c r="G33" s="12">
        <v>4</v>
      </c>
      <c r="H33" s="13">
        <v>1089</v>
      </c>
      <c r="I33" s="25">
        <f>Table1[[#This Row],[Number Of Units]]*Table1[[#This Row],[Price/Unit]]</f>
        <v>4356</v>
      </c>
      <c r="M33" t="s">
        <v>61</v>
      </c>
      <c r="N33" s="9">
        <f>AVERAGE(N29:N31)</f>
        <v>170119.66666666666</v>
      </c>
    </row>
    <row r="34" spans="1:14">
      <c r="A34" s="3">
        <v>30</v>
      </c>
      <c r="B34" s="1" t="s">
        <v>39</v>
      </c>
      <c r="C34" s="10">
        <v>45704</v>
      </c>
      <c r="D34" s="1" t="s">
        <v>50</v>
      </c>
      <c r="E34" s="11" t="s">
        <v>28</v>
      </c>
      <c r="F34" s="1" t="s">
        <v>32</v>
      </c>
      <c r="G34" s="12">
        <v>14</v>
      </c>
      <c r="H34" s="13">
        <v>1049</v>
      </c>
      <c r="I34" s="25">
        <f>Table1[[#This Row],[Number Of Units]]*Table1[[#This Row],[Price/Unit]]</f>
        <v>14686</v>
      </c>
    </row>
    <row r="35" spans="1:14">
      <c r="A35" s="3">
        <v>31</v>
      </c>
      <c r="B35" s="1" t="s">
        <v>26</v>
      </c>
      <c r="C35" s="10">
        <v>45712</v>
      </c>
      <c r="D35" s="1" t="s">
        <v>50</v>
      </c>
      <c r="E35" s="11" t="s">
        <v>62</v>
      </c>
      <c r="F35" s="1" t="s">
        <v>41</v>
      </c>
      <c r="G35" s="12">
        <v>16</v>
      </c>
      <c r="H35" s="13">
        <v>459</v>
      </c>
      <c r="I35" s="25">
        <f>Table1[[#This Row],[Number Of Units]]*Table1[[#This Row],[Price/Unit]]</f>
        <v>7344</v>
      </c>
    </row>
    <row r="36" spans="1:14">
      <c r="A36" s="3">
        <v>32</v>
      </c>
      <c r="B36" s="1" t="s">
        <v>31</v>
      </c>
      <c r="C36" s="10">
        <v>45713</v>
      </c>
      <c r="D36" s="1" t="s">
        <v>50</v>
      </c>
      <c r="E36" s="11">
        <v>34</v>
      </c>
      <c r="F36" s="1" t="s">
        <v>29</v>
      </c>
      <c r="G36" s="12">
        <v>16</v>
      </c>
      <c r="H36" s="13">
        <v>1299</v>
      </c>
      <c r="I36" s="25">
        <f>Table1[[#This Row],[Number Of Units]]*Table1[[#This Row],[Price/Unit]]</f>
        <v>20784</v>
      </c>
    </row>
    <row r="37" spans="1:14">
      <c r="A37" s="3">
        <v>33</v>
      </c>
      <c r="B37" s="1" t="s">
        <v>33</v>
      </c>
      <c r="C37" s="10">
        <v>45717</v>
      </c>
      <c r="D37" s="1" t="s">
        <v>58</v>
      </c>
      <c r="E37" s="11" t="s">
        <v>40</v>
      </c>
      <c r="F37" s="1" t="s">
        <v>32</v>
      </c>
      <c r="G37" s="12">
        <v>6</v>
      </c>
      <c r="H37" s="13">
        <v>699</v>
      </c>
      <c r="I37" s="25">
        <f>Table1[[#This Row],[Number Of Units]]*Table1[[#This Row],[Price/Unit]]</f>
        <v>4194</v>
      </c>
    </row>
    <row r="38" spans="1:14">
      <c r="A38" s="3">
        <v>34</v>
      </c>
      <c r="B38" s="1" t="s">
        <v>36</v>
      </c>
      <c r="C38" s="10">
        <v>45719</v>
      </c>
      <c r="D38" s="1" t="s">
        <v>58</v>
      </c>
      <c r="E38" s="11" t="s">
        <v>37</v>
      </c>
      <c r="F38" s="1" t="s">
        <v>48</v>
      </c>
      <c r="G38" s="12">
        <v>8</v>
      </c>
      <c r="H38" s="13">
        <v>2589</v>
      </c>
      <c r="I38" s="25">
        <f>Table1[[#This Row],[Number Of Units]]*Table1[[#This Row],[Price/Unit]]</f>
        <v>20712</v>
      </c>
    </row>
    <row r="39" spans="1:14">
      <c r="A39" s="3">
        <v>35</v>
      </c>
      <c r="B39" s="1" t="s">
        <v>39</v>
      </c>
      <c r="C39" s="10">
        <v>45720</v>
      </c>
      <c r="D39" s="1" t="s">
        <v>58</v>
      </c>
      <c r="E39" s="11" t="s">
        <v>40</v>
      </c>
      <c r="F39" s="1" t="s">
        <v>52</v>
      </c>
      <c r="G39" s="12">
        <v>19</v>
      </c>
      <c r="H39" s="13">
        <v>799</v>
      </c>
      <c r="I39" s="25">
        <f>Table1[[#This Row],[Number Of Units]]*Table1[[#This Row],[Price/Unit]]</f>
        <v>15181</v>
      </c>
    </row>
    <row r="40" spans="1:14">
      <c r="A40" s="3">
        <v>36</v>
      </c>
      <c r="B40" s="1" t="s">
        <v>26</v>
      </c>
      <c r="C40" s="10">
        <v>45721</v>
      </c>
      <c r="D40" s="1" t="s">
        <v>58</v>
      </c>
      <c r="E40" s="11" t="s">
        <v>40</v>
      </c>
      <c r="F40" s="1" t="s">
        <v>63</v>
      </c>
      <c r="G40" s="12">
        <v>8</v>
      </c>
      <c r="H40" s="13">
        <v>649</v>
      </c>
      <c r="I40" s="25">
        <f>Table1[[#This Row],[Number Of Units]]*Table1[[#This Row],[Price/Unit]]</f>
        <v>5192</v>
      </c>
    </row>
    <row r="41" spans="1:14">
      <c r="A41" s="3">
        <v>37</v>
      </c>
      <c r="B41" s="1" t="s">
        <v>31</v>
      </c>
      <c r="C41" s="10">
        <v>45722</v>
      </c>
      <c r="D41" s="1" t="s">
        <v>58</v>
      </c>
      <c r="E41" s="11">
        <v>30</v>
      </c>
      <c r="F41" s="1" t="s">
        <v>32</v>
      </c>
      <c r="G41" s="12">
        <v>13</v>
      </c>
      <c r="H41" s="13">
        <v>1049</v>
      </c>
      <c r="I41" s="25">
        <f>Table1[[#This Row],[Number Of Units]]*Table1[[#This Row],[Price/Unit]]</f>
        <v>13637</v>
      </c>
    </row>
    <row r="42" spans="1:14">
      <c r="A42" s="3">
        <v>38</v>
      </c>
      <c r="B42" s="1" t="s">
        <v>33</v>
      </c>
      <c r="C42" s="10">
        <v>45731</v>
      </c>
      <c r="D42" s="1" t="s">
        <v>58</v>
      </c>
      <c r="E42" s="11" t="s">
        <v>40</v>
      </c>
      <c r="F42" s="1" t="s">
        <v>35</v>
      </c>
      <c r="G42" s="12">
        <v>7</v>
      </c>
      <c r="H42" s="13">
        <v>749</v>
      </c>
      <c r="I42" s="25">
        <f>Table1[[#This Row],[Number Of Units]]*Table1[[#This Row],[Price/Unit]]</f>
        <v>5243</v>
      </c>
    </row>
    <row r="43" spans="1:14">
      <c r="A43" s="3">
        <v>39</v>
      </c>
      <c r="B43" s="1" t="s">
        <v>36</v>
      </c>
      <c r="C43" s="10">
        <v>45732</v>
      </c>
      <c r="D43" s="1" t="s">
        <v>58</v>
      </c>
      <c r="E43" s="11" t="s">
        <v>37</v>
      </c>
      <c r="F43" s="1" t="s">
        <v>41</v>
      </c>
      <c r="G43" s="12">
        <v>5</v>
      </c>
      <c r="H43" s="13">
        <v>1849</v>
      </c>
      <c r="I43" s="25">
        <f>Table1[[#This Row],[Number Of Units]]*Table1[[#This Row],[Price/Unit]]</f>
        <v>9245</v>
      </c>
    </row>
    <row r="44" spans="1:14">
      <c r="A44" s="3">
        <v>40</v>
      </c>
      <c r="B44" s="1" t="s">
        <v>39</v>
      </c>
      <c r="C44" s="10">
        <v>45732</v>
      </c>
      <c r="D44" s="1" t="s">
        <v>58</v>
      </c>
      <c r="E44" s="11" t="s">
        <v>62</v>
      </c>
      <c r="F44" s="1" t="s">
        <v>41</v>
      </c>
      <c r="G44" s="12">
        <v>15</v>
      </c>
      <c r="H44" s="13">
        <v>799</v>
      </c>
      <c r="I44" s="25">
        <f>Table1[[#This Row],[Number Of Units]]*Table1[[#This Row],[Price/Unit]]</f>
        <v>11985</v>
      </c>
    </row>
    <row r="45" spans="1:14">
      <c r="A45" s="3">
        <v>41</v>
      </c>
      <c r="B45" s="1" t="s">
        <v>26</v>
      </c>
      <c r="C45" s="10">
        <v>45734</v>
      </c>
      <c r="D45" s="1" t="s">
        <v>58</v>
      </c>
      <c r="E45" s="11" t="s">
        <v>28</v>
      </c>
      <c r="F45" s="1" t="s">
        <v>49</v>
      </c>
      <c r="G45" s="12">
        <v>14</v>
      </c>
      <c r="H45" s="13">
        <v>749</v>
      </c>
      <c r="I45" s="25">
        <f>Table1[[#This Row],[Number Of Units]]*Table1[[#This Row],[Price/Unit]]</f>
        <v>10486</v>
      </c>
    </row>
    <row r="46" spans="1:14">
      <c r="A46" s="3">
        <v>42</v>
      </c>
      <c r="B46" s="1" t="s">
        <v>31</v>
      </c>
      <c r="C46" s="10">
        <v>45734</v>
      </c>
      <c r="D46" s="1" t="s">
        <v>58</v>
      </c>
      <c r="E46" s="11">
        <v>32</v>
      </c>
      <c r="F46" s="1" t="s">
        <v>45</v>
      </c>
      <c r="G46" s="12">
        <v>8</v>
      </c>
      <c r="H46" s="13">
        <v>1249</v>
      </c>
      <c r="I46" s="25">
        <f>Table1[[#This Row],[Number Of Units]]*Table1[[#This Row],[Price/Unit]]</f>
        <v>9992</v>
      </c>
    </row>
    <row r="47" spans="1:14">
      <c r="A47" s="3">
        <v>43</v>
      </c>
      <c r="B47" s="1" t="s">
        <v>33</v>
      </c>
      <c r="C47" s="10">
        <v>45737</v>
      </c>
      <c r="D47" s="1" t="s">
        <v>58</v>
      </c>
      <c r="E47" s="11" t="s">
        <v>28</v>
      </c>
      <c r="F47" s="1" t="s">
        <v>51</v>
      </c>
      <c r="G47" s="12">
        <v>8</v>
      </c>
      <c r="H47" s="13">
        <v>849</v>
      </c>
      <c r="I47" s="25">
        <f>Table1[[#This Row],[Number Of Units]]*Table1[[#This Row],[Price/Unit]]</f>
        <v>6792</v>
      </c>
    </row>
    <row r="48" spans="1:14">
      <c r="A48" s="3">
        <v>44</v>
      </c>
      <c r="B48" s="1" t="s">
        <v>36</v>
      </c>
      <c r="C48" s="10">
        <v>45738</v>
      </c>
      <c r="D48" s="1" t="s">
        <v>58</v>
      </c>
      <c r="E48" s="11" t="s">
        <v>37</v>
      </c>
      <c r="F48" s="1" t="s">
        <v>48</v>
      </c>
      <c r="G48" s="12">
        <v>15</v>
      </c>
      <c r="H48" s="13">
        <v>3499</v>
      </c>
      <c r="I48" s="25">
        <f>Table1[[#This Row],[Number Of Units]]*Table1[[#This Row],[Price/Unit]]</f>
        <v>52485</v>
      </c>
    </row>
    <row r="49" spans="1:9">
      <c r="A49" s="3">
        <v>45</v>
      </c>
      <c r="B49" s="1" t="s">
        <v>39</v>
      </c>
      <c r="C49" s="10">
        <v>45740</v>
      </c>
      <c r="D49" s="1" t="s">
        <v>58</v>
      </c>
      <c r="E49" s="11" t="s">
        <v>34</v>
      </c>
      <c r="F49" s="1" t="s">
        <v>29</v>
      </c>
      <c r="G49" s="12">
        <v>16</v>
      </c>
      <c r="H49" s="13">
        <v>1299</v>
      </c>
      <c r="I49" s="25">
        <f>Table1[[#This Row],[Number Of Units]]*Table1[[#This Row],[Price/Unit]]</f>
        <v>20784</v>
      </c>
    </row>
    <row r="50" spans="1:9">
      <c r="A50" s="3">
        <v>46</v>
      </c>
      <c r="B50" s="1" t="s">
        <v>26</v>
      </c>
      <c r="C50" s="10">
        <v>45741</v>
      </c>
      <c r="D50" s="1" t="s">
        <v>58</v>
      </c>
      <c r="E50" s="11" t="s">
        <v>34</v>
      </c>
      <c r="F50" s="1" t="s">
        <v>29</v>
      </c>
      <c r="G50" s="12">
        <v>12</v>
      </c>
      <c r="H50" s="13">
        <v>699</v>
      </c>
      <c r="I50" s="25">
        <f>Table1[[#This Row],[Number Of Units]]*Table1[[#This Row],[Price/Unit]]</f>
        <v>8388</v>
      </c>
    </row>
    <row r="51" spans="1:9">
      <c r="A51" s="3">
        <v>47</v>
      </c>
      <c r="B51" s="1" t="s">
        <v>31</v>
      </c>
      <c r="C51" s="10">
        <v>45742</v>
      </c>
      <c r="D51" s="1" t="s">
        <v>58</v>
      </c>
      <c r="E51" s="11">
        <v>34</v>
      </c>
      <c r="F51" s="1" t="s">
        <v>29</v>
      </c>
      <c r="G51" s="12">
        <v>12</v>
      </c>
      <c r="H51" s="13">
        <v>1049</v>
      </c>
      <c r="I51" s="25">
        <f>Table1[[#This Row],[Number Of Units]]*Table1[[#This Row],[Price/Unit]]</f>
        <v>12588</v>
      </c>
    </row>
    <row r="52" spans="1:9">
      <c r="A52" s="3">
        <v>48</v>
      </c>
      <c r="B52" s="1" t="s">
        <v>33</v>
      </c>
      <c r="C52" s="10">
        <v>45743</v>
      </c>
      <c r="D52" s="1" t="s">
        <v>58</v>
      </c>
      <c r="E52" s="11" t="s">
        <v>28</v>
      </c>
      <c r="F52" s="1" t="s">
        <v>32</v>
      </c>
      <c r="G52" s="12">
        <v>5</v>
      </c>
      <c r="H52" s="13">
        <v>499</v>
      </c>
      <c r="I52" s="25">
        <f>Table1[[#This Row],[Number Of Units]]*Table1[[#This Row],[Price/Unit]]</f>
        <v>2495</v>
      </c>
    </row>
    <row r="53" spans="1:9">
      <c r="A53" s="3">
        <v>49</v>
      </c>
      <c r="B53" s="1" t="s">
        <v>36</v>
      </c>
      <c r="C53" s="10">
        <v>45744</v>
      </c>
      <c r="D53" s="1" t="s">
        <v>58</v>
      </c>
      <c r="E53" s="11" t="s">
        <v>37</v>
      </c>
      <c r="F53" s="1" t="s">
        <v>48</v>
      </c>
      <c r="G53" s="12">
        <v>18</v>
      </c>
      <c r="H53" s="13">
        <v>2899</v>
      </c>
      <c r="I53" s="25">
        <f>Table1[[#This Row],[Number Of Units]]*Table1[[#This Row],[Price/Unit]]</f>
        <v>52182</v>
      </c>
    </row>
    <row r="54" spans="1:9">
      <c r="A54" s="23">
        <v>50</v>
      </c>
      <c r="B54" s="4" t="s">
        <v>39</v>
      </c>
      <c r="C54" s="18">
        <v>45745</v>
      </c>
      <c r="D54" s="4" t="s">
        <v>58</v>
      </c>
      <c r="E54" s="19" t="s">
        <v>64</v>
      </c>
      <c r="F54" s="4" t="s">
        <v>38</v>
      </c>
      <c r="G54" s="20">
        <v>13</v>
      </c>
      <c r="H54" s="21">
        <v>899</v>
      </c>
      <c r="I54" s="26">
        <f>Table1[[#This Row],[Number Of Units]]*Table1[[#This Row],[Price/Unit]]</f>
        <v>11687</v>
      </c>
    </row>
    <row r="55" spans="1:9">
      <c r="A55" s="23" t="s">
        <v>60</v>
      </c>
      <c r="B55" s="4"/>
      <c r="C55" s="18"/>
      <c r="D55" s="4"/>
      <c r="E55" s="19"/>
      <c r="F55" s="4"/>
      <c r="G55" s="20">
        <f>SUM(G5:G54)</f>
        <v>433</v>
      </c>
      <c r="H55" s="21"/>
      <c r="I55" s="26">
        <f>SUM(I5:I54)</f>
        <v>510359</v>
      </c>
    </row>
  </sheetData>
  <sheetProtection algorithmName="SHA-512" hashValue="o9Rd7Trm0OfjLYGv4/9WJt4b+4/YeScf00IqXNfEravriZ+2TsfNaV9/gQDcoQJnOLEVij5fQzGciNO195OTDA==" saltValue="9V1RUHzytdX0okDthskrgQ==" spinCount="100000" sheet="1" objects="1" scenarios="1"/>
  <mergeCells count="2">
    <mergeCell ref="B1:I1"/>
    <mergeCell ref="B2:I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E63B-7873-441E-AB7E-5335932F184E}">
  <dimension ref="A1:B8"/>
  <sheetViews>
    <sheetView workbookViewId="0">
      <selection activeCell="B2" sqref="B2"/>
    </sheetView>
  </sheetViews>
  <sheetFormatPr defaultRowHeight="15"/>
  <cols>
    <col min="1" max="1" width="17.28515625" customWidth="1"/>
    <col min="2" max="2" width="83.28515625" customWidth="1"/>
  </cols>
  <sheetData>
    <row r="1" spans="1:2">
      <c r="A1" s="28" t="s">
        <v>65</v>
      </c>
      <c r="B1" s="28" t="s">
        <v>66</v>
      </c>
    </row>
    <row r="2" spans="1:2" ht="18" customHeight="1">
      <c r="A2" s="29" t="s">
        <v>67</v>
      </c>
      <c r="B2" s="29" t="s">
        <v>68</v>
      </c>
    </row>
    <row r="3" spans="1:2" ht="21" customHeight="1">
      <c r="A3" s="29" t="s">
        <v>69</v>
      </c>
      <c r="B3" s="30" t="s">
        <v>70</v>
      </c>
    </row>
    <row r="4" spans="1:2">
      <c r="A4" s="29" t="s">
        <v>71</v>
      </c>
      <c r="B4" s="29" t="s">
        <v>72</v>
      </c>
    </row>
    <row r="5" spans="1:2">
      <c r="A5" s="29" t="s">
        <v>73</v>
      </c>
      <c r="B5" s="29" t="s">
        <v>74</v>
      </c>
    </row>
    <row r="6" spans="1:2">
      <c r="A6" s="29" t="s">
        <v>75</v>
      </c>
      <c r="B6" s="31">
        <v>45988</v>
      </c>
    </row>
    <row r="7" spans="1:2" ht="16.5" customHeight="1">
      <c r="A7" s="29" t="s">
        <v>76</v>
      </c>
      <c r="B7" s="32" t="s">
        <v>77</v>
      </c>
    </row>
    <row r="8" spans="1:2" ht="16.5" customHeight="1">
      <c r="A8" s="29" t="s">
        <v>78</v>
      </c>
      <c r="B8" s="30" t="s">
        <v>79</v>
      </c>
    </row>
  </sheetData>
  <sheetProtection algorithmName="SHA-512" hashValue="k2YQF3ftAOW9DuFbFzPybOPSI93thgyOTKi5CJpWnebIpvYZ6lToHcapdC4cJAcfm8JqWn+kMH1q3ea+9LiqEQ==" saltValue="uy3ePTneP8LbSQ9bYcOW+Q==" spinCount="100000" sheet="1" objects="1" scenarios="1"/>
  <hyperlinks>
    <hyperlink ref="B7" r:id="rId1" xr:uid="{F510CD6C-BA9D-469B-BC76-0728BC5E53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2025-11-27T06:44:09Z</dcterms:created>
  <dcterms:modified xsi:type="dcterms:W3CDTF">2025-12-07T10:30:46Z</dcterms:modified>
  <cp:category/>
  <cp:contentStatus/>
</cp:coreProperties>
</file>