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/>
  <xr:revisionPtr revIDLastSave="0" documentId="8_{C85612D8-F9EF-40E6-8889-A2A7DF0FFE7A}" xr6:coauthVersionLast="47" xr6:coauthVersionMax="47" xr10:uidLastSave="{00000000-0000-0000-0000-000000000000}"/>
  <bookViews>
    <workbookView xWindow="240" yWindow="105" windowWidth="14805" windowHeight="8010" firstSheet="3" activeTab="3" xr2:uid="{00000000-000D-0000-FFFF-FFFF00000000}"/>
  </bookViews>
  <sheets>
    <sheet name="SALES DATA 1" sheetId="1" r:id="rId1"/>
    <sheet name="SALES DATA 2" sheetId="5" r:id="rId2"/>
    <sheet name="SALES BY DIVISION " sheetId="6" r:id="rId3"/>
    <sheet name="PROGREES CATEGORY " sheetId="7" r:id="rId4"/>
    <sheet name="ABOUT" sheetId="8" state="hidden" r:id="rId5"/>
  </sheets>
  <calcPr calcId="191028"/>
  <pivotCaches>
    <pivotCache cacheId="50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7" i="5" l="1"/>
  <c r="J37" i="5" s="1"/>
  <c r="H36" i="5"/>
  <c r="J36" i="5" s="1"/>
  <c r="H35" i="5"/>
  <c r="J35" i="5" s="1"/>
  <c r="H34" i="5"/>
  <c r="J34" i="5" s="1"/>
  <c r="H33" i="5"/>
  <c r="J33" i="5" s="1"/>
  <c r="H32" i="5"/>
  <c r="J32" i="5" s="1"/>
  <c r="H31" i="5"/>
  <c r="J31" i="5" s="1"/>
  <c r="H30" i="5"/>
  <c r="J30" i="5" s="1"/>
  <c r="H29" i="5"/>
  <c r="J29" i="5" s="1"/>
  <c r="H28" i="5"/>
  <c r="J28" i="5" s="1"/>
  <c r="H27" i="5"/>
  <c r="J27" i="5" s="1"/>
  <c r="H26" i="5"/>
  <c r="J26" i="5" s="1"/>
  <c r="H25" i="5"/>
  <c r="J25" i="5" s="1"/>
  <c r="H24" i="5"/>
  <c r="J24" i="5" s="1"/>
  <c r="H23" i="5"/>
  <c r="J23" i="5" s="1"/>
  <c r="H22" i="5"/>
  <c r="J22" i="5" s="1"/>
  <c r="H21" i="5"/>
  <c r="J21" i="5" s="1"/>
  <c r="H20" i="5"/>
  <c r="J20" i="5" s="1"/>
  <c r="H19" i="5"/>
  <c r="J19" i="5" s="1"/>
  <c r="H18" i="5"/>
  <c r="J18" i="5" s="1"/>
  <c r="H17" i="5"/>
  <c r="J17" i="5" s="1"/>
  <c r="H16" i="5"/>
  <c r="J16" i="5" s="1"/>
  <c r="H15" i="5"/>
  <c r="J15" i="5" s="1"/>
  <c r="H14" i="5"/>
  <c r="J14" i="5" s="1"/>
  <c r="H13" i="5"/>
  <c r="J13" i="5" s="1"/>
  <c r="H12" i="5"/>
  <c r="J12" i="5" s="1"/>
  <c r="H11" i="5"/>
  <c r="J11" i="5" s="1"/>
  <c r="H10" i="5"/>
  <c r="J10" i="5" s="1"/>
  <c r="H9" i="5"/>
  <c r="J9" i="5" s="1"/>
  <c r="H8" i="5"/>
  <c r="J8" i="5" s="1"/>
  <c r="H7" i="5"/>
  <c r="J7" i="5" s="1"/>
  <c r="H6" i="5"/>
  <c r="J6" i="5" s="1"/>
  <c r="H5" i="5"/>
  <c r="J5" i="5" s="1"/>
  <c r="H4" i="5"/>
  <c r="J4" i="5" s="1"/>
  <c r="H3" i="5"/>
  <c r="J3" i="5" s="1"/>
  <c r="H4" i="1"/>
  <c r="J4" i="1" s="1"/>
  <c r="H5" i="1"/>
  <c r="J5" i="1" s="1"/>
  <c r="H6" i="1"/>
  <c r="J6" i="1" s="1"/>
  <c r="H7" i="1"/>
  <c r="J7" i="1" s="1"/>
  <c r="H8" i="1"/>
  <c r="J8" i="1" s="1"/>
  <c r="H9" i="1"/>
  <c r="J9" i="1" s="1"/>
  <c r="H10" i="1"/>
  <c r="J10" i="1" s="1"/>
  <c r="H11" i="1"/>
  <c r="J11" i="1" s="1"/>
  <c r="H12" i="1"/>
  <c r="J12" i="1" s="1"/>
  <c r="H13" i="1"/>
  <c r="J13" i="1" s="1"/>
  <c r="H14" i="1"/>
  <c r="J14" i="1" s="1"/>
  <c r="H15" i="1"/>
  <c r="J15" i="1" s="1"/>
  <c r="H16" i="1"/>
  <c r="J16" i="1" s="1"/>
  <c r="H17" i="1"/>
  <c r="J17" i="1" s="1"/>
  <c r="H18" i="1"/>
  <c r="J18" i="1" s="1"/>
  <c r="H19" i="1"/>
  <c r="J19" i="1" s="1"/>
  <c r="H20" i="1"/>
  <c r="J20" i="1" s="1"/>
  <c r="H21" i="1"/>
  <c r="J21" i="1" s="1"/>
  <c r="H22" i="1"/>
  <c r="J22" i="1" s="1"/>
  <c r="H23" i="1"/>
  <c r="J23" i="1" s="1"/>
  <c r="H24" i="1"/>
  <c r="J24" i="1" s="1"/>
  <c r="H25" i="1"/>
  <c r="J25" i="1" s="1"/>
  <c r="H26" i="1"/>
  <c r="J26" i="1" s="1"/>
  <c r="H27" i="1"/>
  <c r="J27" i="1" s="1"/>
  <c r="H28" i="1"/>
  <c r="J28" i="1" s="1"/>
  <c r="H29" i="1"/>
  <c r="J29" i="1" s="1"/>
  <c r="H30" i="1"/>
  <c r="J30" i="1" s="1"/>
  <c r="H31" i="1"/>
  <c r="J31" i="1" s="1"/>
  <c r="H32" i="1"/>
  <c r="J32" i="1" s="1"/>
  <c r="H33" i="1"/>
  <c r="J33" i="1" s="1"/>
  <c r="H34" i="1"/>
  <c r="J34" i="1" s="1"/>
  <c r="H35" i="1"/>
  <c r="J35" i="1" s="1"/>
  <c r="H36" i="1"/>
  <c r="J36" i="1" s="1"/>
  <c r="H37" i="1"/>
  <c r="J37" i="1" s="1"/>
  <c r="H3" i="1"/>
  <c r="J3" i="1" s="1"/>
</calcChain>
</file>

<file path=xl/sharedStrings.xml><?xml version="1.0" encoding="utf-8"?>
<sst xmlns="http://schemas.openxmlformats.org/spreadsheetml/2006/main" count="236" uniqueCount="86">
  <si>
    <t>Hypothetical Sales Data for the Year 2024</t>
  </si>
  <si>
    <t>Sr.  No.</t>
  </si>
  <si>
    <t>Employee Name</t>
  </si>
  <si>
    <t>Division</t>
  </si>
  <si>
    <t>Q1</t>
  </si>
  <si>
    <t>Q2</t>
  </si>
  <si>
    <t>Q3</t>
  </si>
  <si>
    <t>Q4</t>
  </si>
  <si>
    <t>Total Sales</t>
  </si>
  <si>
    <t>Annual Target</t>
  </si>
  <si>
    <t xml:space="preserve">% Progrees </t>
  </si>
  <si>
    <t>Aman Sharma</t>
  </si>
  <si>
    <t>Enterprises Solutions</t>
  </si>
  <si>
    <t>Priya Verma</t>
  </si>
  <si>
    <t>Smartphone Sales</t>
  </si>
  <si>
    <t>Arjun Malhotra</t>
  </si>
  <si>
    <t>Riya Patel</t>
  </si>
  <si>
    <t>Laptops &amp; Tablets</t>
  </si>
  <si>
    <t>Mohit Singh</t>
  </si>
  <si>
    <t>Neha Gupta</t>
  </si>
  <si>
    <t>Rohit Reddy</t>
  </si>
  <si>
    <t>Sana Khan</t>
  </si>
  <si>
    <t>Vikram Joshi</t>
  </si>
  <si>
    <t>Anjali Rao</t>
  </si>
  <si>
    <t xml:space="preserve">Meera Iyer </t>
  </si>
  <si>
    <t>Wearables</t>
  </si>
  <si>
    <t>Karan Mehta</t>
  </si>
  <si>
    <t xml:space="preserve">Siddharth Nair </t>
  </si>
  <si>
    <t xml:space="preserve">Pooja Desai </t>
  </si>
  <si>
    <t>Rahul Kapoor</t>
  </si>
  <si>
    <t>Isha Sen</t>
  </si>
  <si>
    <t>TV &amp; Home Appliances</t>
  </si>
  <si>
    <t>Vivek Kumar</t>
  </si>
  <si>
    <t>Semiconductors</t>
  </si>
  <si>
    <t>Anita Choudhary</t>
  </si>
  <si>
    <t xml:space="preserve">Devansh Bhatt </t>
  </si>
  <si>
    <t>Memory &amp; Storage</t>
  </si>
  <si>
    <t>Tanya Roy</t>
  </si>
  <si>
    <t>Sameer Kulkarni</t>
  </si>
  <si>
    <t>Shruti Bansal</t>
  </si>
  <si>
    <t xml:space="preserve">Aditya Singh </t>
  </si>
  <si>
    <t>Komal Agarwal</t>
  </si>
  <si>
    <t>Tarun Das</t>
  </si>
  <si>
    <t>Nikita Goyal</t>
  </si>
  <si>
    <t>Manish Yadav</t>
  </si>
  <si>
    <t>Bhavna Saxena</t>
  </si>
  <si>
    <t>Rakesh Pillai</t>
  </si>
  <si>
    <t>Gauri Menon</t>
  </si>
  <si>
    <t>Kushal Anand</t>
  </si>
  <si>
    <t>Sheetal Prasad</t>
  </si>
  <si>
    <t>Harish Perera</t>
  </si>
  <si>
    <t>Leena Thomas</t>
  </si>
  <si>
    <t>Zara Qureshi</t>
  </si>
  <si>
    <t>Sr . No.</t>
  </si>
  <si>
    <t>Empolyee Name</t>
  </si>
  <si>
    <t>Annual Targets</t>
  </si>
  <si>
    <t>% Progrees</t>
  </si>
  <si>
    <t>Category</t>
  </si>
  <si>
    <t>60%-70%</t>
  </si>
  <si>
    <t>90%-100%</t>
  </si>
  <si>
    <t>80%-90%</t>
  </si>
  <si>
    <t>70%-80%</t>
  </si>
  <si>
    <t>50%-60%</t>
  </si>
  <si>
    <t>100%+</t>
  </si>
  <si>
    <t>Values</t>
  </si>
  <si>
    <t>Grand Total</t>
  </si>
  <si>
    <t>Sum of Q1</t>
  </si>
  <si>
    <t>Sum of Q2</t>
  </si>
  <si>
    <t>Sum of Q3</t>
  </si>
  <si>
    <t>Sum of Q4</t>
  </si>
  <si>
    <t>Count of Empolyee Name</t>
  </si>
  <si>
    <t>FIELD</t>
  </si>
  <si>
    <t>DETAILS</t>
  </si>
  <si>
    <t>AUTHOR</t>
  </si>
  <si>
    <t>RUTUJA  SANTOSH SHANKPALE</t>
  </si>
  <si>
    <t>PROJECT TITLE</t>
  </si>
  <si>
    <t xml:space="preserve">GUIDED PROJECT: CONDITIONAL FORMATTING, TABLES AND CHARTS IN MICROSOFT EXCEL </t>
  </si>
  <si>
    <t>COURSE/SOURCE</t>
  </si>
  <si>
    <t>COURSERA</t>
  </si>
  <si>
    <t>INSTRUCTOR</t>
  </si>
  <si>
    <t>PAULA DEL REY</t>
  </si>
  <si>
    <t>CREATED ON</t>
  </si>
  <si>
    <t>CONTACT</t>
  </si>
  <si>
    <t>www.linkedin.com/in/rutujashankpale</t>
  </si>
  <si>
    <t>COPYRIGHT</t>
  </si>
  <si>
    <t>© 2025 RUTUJA SHANKPALE. ORIGINAL WORK. ALL RIGHTS 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</si>
</sst>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8">
    <font>
      <sz val="11"/>
      <color theme="1"/>
      <name val="Aptos Narrow"/>
      <family val="2"/>
      <scheme val="minor"/>
    </font>
    <font>
      <sz val="20"/>
      <color theme="1"/>
      <name val="Calibri"/>
    </font>
    <font>
      <b/>
      <sz val="11"/>
      <color theme="1"/>
      <name val="Aptos Narrow"/>
      <family val="2"/>
      <scheme val="minor"/>
    </font>
    <font>
      <sz val="11"/>
      <color theme="1"/>
      <name val="Calibri"/>
    </font>
    <font>
      <b/>
      <sz val="12"/>
      <color theme="1"/>
      <name val="Calibri"/>
    </font>
    <font>
      <u/>
      <sz val="11"/>
      <color theme="10"/>
      <name val="Aptos Narrow"/>
      <family val="2"/>
      <scheme val="minor"/>
    </font>
    <font>
      <b/>
      <sz val="11"/>
      <color theme="1"/>
      <name val="Calibri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164" fontId="0" fillId="0" borderId="0" xfId="0" applyNumberFormat="1"/>
    <xf numFmtId="0" fontId="0" fillId="0" borderId="0" xfId="0" applyNumberFormat="1"/>
    <xf numFmtId="164" fontId="2" fillId="0" borderId="0" xfId="0" applyNumberFormat="1" applyFont="1"/>
    <xf numFmtId="0" fontId="2" fillId="0" borderId="0" xfId="0" applyNumberFormat="1" applyFont="1"/>
    <xf numFmtId="0" fontId="2" fillId="0" borderId="0" xfId="0" applyFont="1" applyAlignment="1">
      <alignment wrapText="1"/>
    </xf>
    <xf numFmtId="0" fontId="3" fillId="0" borderId="0" xfId="0" applyFont="1"/>
    <xf numFmtId="0" fontId="3" fillId="0" borderId="0" xfId="0" applyNumberFormat="1" applyFont="1"/>
    <xf numFmtId="164" fontId="3" fillId="0" borderId="0" xfId="0" applyNumberFormat="1" applyFont="1"/>
    <xf numFmtId="10" fontId="3" fillId="0" borderId="0" xfId="0" applyNumberFormat="1" applyFont="1"/>
    <xf numFmtId="0" fontId="4" fillId="0" borderId="0" xfId="0" applyFont="1"/>
    <xf numFmtId="0" fontId="3" fillId="0" borderId="0" xfId="0" pivotButton="1" applyFont="1"/>
    <xf numFmtId="0" fontId="6" fillId="0" borderId="0" xfId="0" applyFont="1"/>
    <xf numFmtId="0" fontId="3" fillId="0" borderId="0" xfId="0" applyFont="1" applyAlignment="1">
      <alignment wrapText="1"/>
    </xf>
    <xf numFmtId="15" fontId="3" fillId="0" borderId="0" xfId="0" applyNumberFormat="1" applyFont="1" applyAlignment="1">
      <alignment horizontal="left"/>
    </xf>
    <xf numFmtId="0" fontId="7" fillId="0" borderId="0" xfId="1" applyFont="1"/>
    <xf numFmtId="0" fontId="1" fillId="2" borderId="0" xfId="0" applyFont="1" applyFill="1" applyAlignment="1">
      <alignment horizontal="center" wrapText="1"/>
    </xf>
  </cellXfs>
  <cellStyles count="2">
    <cellStyle name="Hyperlink" xfId="1" builtinId="8"/>
    <cellStyle name="Normal" xfId="0" builtinId="0"/>
  </cellStyles>
  <dxfs count="33"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name val="Calibri"/>
      </font>
      <numFmt numFmtId="14" formatCode="0.00%"/>
    </dxf>
    <dxf>
      <font>
        <name val="Calibri"/>
      </font>
      <numFmt numFmtId="164" formatCode="&quot;₹&quot;\ #,##0.00"/>
    </dxf>
    <dxf>
      <font>
        <name val="Calibri"/>
      </font>
      <numFmt numFmtId="164" formatCode="&quot;₹&quot;\ #,##0.00"/>
    </dxf>
    <dxf>
      <font>
        <name val="Calibri"/>
      </font>
      <numFmt numFmtId="164" formatCode="&quot;₹&quot;\ #,##0.00"/>
    </dxf>
    <dxf>
      <font>
        <name val="Calibri"/>
      </font>
      <numFmt numFmtId="164" formatCode="&quot;₹&quot;\ #,##0.00"/>
    </dxf>
    <dxf>
      <font>
        <name val="Calibri"/>
      </font>
      <numFmt numFmtId="164" formatCode="&quot;₹&quot;\ #,##0.00"/>
    </dxf>
    <dxf>
      <font>
        <name val="Calibri"/>
      </font>
      <numFmt numFmtId="164" formatCode="&quot;₹&quot;\ #,##0.00"/>
    </dxf>
    <dxf>
      <font>
        <name val="Calibri"/>
      </font>
    </dxf>
    <dxf>
      <font>
        <name val="Calibri"/>
      </font>
      <numFmt numFmtId="0" formatCode="General"/>
    </dxf>
    <dxf>
      <font>
        <name val="Calibri"/>
      </font>
    </dxf>
    <dxf>
      <font>
        <name val="Calibri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₹&quot;\ #,##0.00"/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[sales_formatting.xlsx]SALES BY DIVISION 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Sales by Division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2AA0A4"/>
            </a:solidFill>
            <a:ln w="9525">
              <a:solidFill>
                <a:srgbClr val="2AA0A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9373C0"/>
            </a:solidFill>
            <a:ln w="9525">
              <a:solidFill>
                <a:srgbClr val="9373C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13A10E"/>
            </a:solidFill>
            <a:ln w="9525">
              <a:solidFill>
                <a:srgbClr val="13A10E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3A96DD"/>
            </a:solidFill>
            <a:ln w="9525">
              <a:solidFill>
                <a:srgbClr val="3A96DD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CA5010"/>
            </a:solidFill>
            <a:ln w="9525">
              <a:solidFill>
                <a:srgbClr val="CA501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BY DIVISION '!$B$3:$B$4</c:f>
              <c:strCache>
                <c:ptCount val="1"/>
                <c:pt idx="0">
                  <c:v>Enterprises Solutions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'SALES BY DIVISION '!$A$5:$A$8</c:f>
              <c:strCache>
                <c:ptCount val="4"/>
                <c:pt idx="0">
                  <c:v>Sum of Q1</c:v>
                </c:pt>
                <c:pt idx="1">
                  <c:v>Sum of Q2</c:v>
                </c:pt>
                <c:pt idx="2">
                  <c:v>Sum of Q3</c:v>
                </c:pt>
                <c:pt idx="3">
                  <c:v>Sum of Q4</c:v>
                </c:pt>
              </c:strCache>
            </c:strRef>
          </c:cat>
          <c:val>
            <c:numRef>
              <c:f>'SALES BY DIVISION '!$B$5:$B$8</c:f>
              <c:numCache>
                <c:formatCode>"₹"\ #,##0.00</c:formatCode>
                <c:ptCount val="4"/>
                <c:pt idx="0">
                  <c:v>2179179</c:v>
                </c:pt>
                <c:pt idx="1">
                  <c:v>646100</c:v>
                </c:pt>
                <c:pt idx="2">
                  <c:v>1904459</c:v>
                </c:pt>
                <c:pt idx="3">
                  <c:v>2169612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80-4EE3-8CBA-C3C9F1F10450}"/>
            </c:ext>
          </c:extLst>
        </c:ser>
        <c:ser>
          <c:idx val="1"/>
          <c:order val="1"/>
          <c:tx>
            <c:strRef>
              <c:f>'SALES BY DIVISION '!$C$3:$C$4</c:f>
              <c:strCache>
                <c:ptCount val="1"/>
                <c:pt idx="0">
                  <c:v>Laptops &amp; Tablets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cat>
            <c:strRef>
              <c:f>'SALES BY DIVISION '!$A$5:$A$8</c:f>
              <c:strCache>
                <c:ptCount val="4"/>
                <c:pt idx="0">
                  <c:v>Sum of Q1</c:v>
                </c:pt>
                <c:pt idx="1">
                  <c:v>Sum of Q2</c:v>
                </c:pt>
                <c:pt idx="2">
                  <c:v>Sum of Q3</c:v>
                </c:pt>
                <c:pt idx="3">
                  <c:v>Sum of Q4</c:v>
                </c:pt>
              </c:strCache>
            </c:strRef>
          </c:cat>
          <c:val>
            <c:numRef>
              <c:f>'SALES BY DIVISION '!$C$5:$C$8</c:f>
              <c:numCache>
                <c:formatCode>"₹"\ #,##0.00</c:formatCode>
                <c:ptCount val="4"/>
                <c:pt idx="0">
                  <c:v>531486</c:v>
                </c:pt>
                <c:pt idx="1">
                  <c:v>490699</c:v>
                </c:pt>
                <c:pt idx="2">
                  <c:v>604996</c:v>
                </c:pt>
                <c:pt idx="3">
                  <c:v>561117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80-4EE3-8CBA-C3C9F1F10450}"/>
            </c:ext>
          </c:extLst>
        </c:ser>
        <c:ser>
          <c:idx val="2"/>
          <c:order val="2"/>
          <c:tx>
            <c:strRef>
              <c:f>'SALES BY DIVISION '!$D$3:$D$4</c:f>
              <c:strCache>
                <c:ptCount val="1"/>
                <c:pt idx="0">
                  <c:v>Memory &amp; Storage</c:v>
                </c:pt>
              </c:strCache>
            </c:strRef>
          </c:tx>
          <c:spPr>
            <a:ln w="28575" cap="rnd">
              <a:solidFill>
                <a:srgbClr val="2AA0A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2AA0A4"/>
              </a:solidFill>
              <a:ln w="9525">
                <a:solidFill>
                  <a:srgbClr val="2AA0A4"/>
                </a:solidFill>
              </a:ln>
              <a:effectLst/>
            </c:spPr>
          </c:marker>
          <c:cat>
            <c:strRef>
              <c:f>'SALES BY DIVISION '!$A$5:$A$8</c:f>
              <c:strCache>
                <c:ptCount val="4"/>
                <c:pt idx="0">
                  <c:v>Sum of Q1</c:v>
                </c:pt>
                <c:pt idx="1">
                  <c:v>Sum of Q2</c:v>
                </c:pt>
                <c:pt idx="2">
                  <c:v>Sum of Q3</c:v>
                </c:pt>
                <c:pt idx="3">
                  <c:v>Sum of Q4</c:v>
                </c:pt>
              </c:strCache>
            </c:strRef>
          </c:cat>
          <c:val>
            <c:numRef>
              <c:f>'SALES BY DIVISION '!$D$5:$D$8</c:f>
              <c:numCache>
                <c:formatCode>"₹"\ #,##0.00</c:formatCode>
                <c:ptCount val="4"/>
                <c:pt idx="0">
                  <c:v>820577</c:v>
                </c:pt>
                <c:pt idx="1">
                  <c:v>342151</c:v>
                </c:pt>
                <c:pt idx="2">
                  <c:v>677537</c:v>
                </c:pt>
                <c:pt idx="3">
                  <c:v>944990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580-4EE3-8CBA-C3C9F1F10450}"/>
            </c:ext>
          </c:extLst>
        </c:ser>
        <c:ser>
          <c:idx val="3"/>
          <c:order val="3"/>
          <c:tx>
            <c:strRef>
              <c:f>'SALES BY DIVISION '!$E$3:$E$4</c:f>
              <c:strCache>
                <c:ptCount val="1"/>
                <c:pt idx="0">
                  <c:v>Semiconductors</c:v>
                </c:pt>
              </c:strCache>
            </c:strRef>
          </c:tx>
          <c:spPr>
            <a:ln w="28575" cap="rnd">
              <a:solidFill>
                <a:srgbClr val="9373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373C0"/>
              </a:solidFill>
              <a:ln w="9525">
                <a:solidFill>
                  <a:srgbClr val="9373C0"/>
                </a:solidFill>
              </a:ln>
              <a:effectLst/>
            </c:spPr>
          </c:marker>
          <c:cat>
            <c:strRef>
              <c:f>'SALES BY DIVISION '!$A$5:$A$8</c:f>
              <c:strCache>
                <c:ptCount val="4"/>
                <c:pt idx="0">
                  <c:v>Sum of Q1</c:v>
                </c:pt>
                <c:pt idx="1">
                  <c:v>Sum of Q2</c:v>
                </c:pt>
                <c:pt idx="2">
                  <c:v>Sum of Q3</c:v>
                </c:pt>
                <c:pt idx="3">
                  <c:v>Sum of Q4</c:v>
                </c:pt>
              </c:strCache>
            </c:strRef>
          </c:cat>
          <c:val>
            <c:numRef>
              <c:f>'SALES BY DIVISION '!$E$5:$E$8</c:f>
              <c:numCache>
                <c:formatCode>"₹"\ #,##0.00</c:formatCode>
                <c:ptCount val="4"/>
                <c:pt idx="0">
                  <c:v>1164912</c:v>
                </c:pt>
                <c:pt idx="1">
                  <c:v>369734</c:v>
                </c:pt>
                <c:pt idx="2">
                  <c:v>715547</c:v>
                </c:pt>
                <c:pt idx="3">
                  <c:v>1129224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580-4EE3-8CBA-C3C9F1F10450}"/>
            </c:ext>
          </c:extLst>
        </c:ser>
        <c:ser>
          <c:idx val="4"/>
          <c:order val="4"/>
          <c:tx>
            <c:strRef>
              <c:f>'SALES BY DIVISION '!$F$3:$F$4</c:f>
              <c:strCache>
                <c:ptCount val="1"/>
                <c:pt idx="0">
                  <c:v>Smartphone Sales</c:v>
                </c:pt>
              </c:strCache>
            </c:strRef>
          </c:tx>
          <c:spPr>
            <a:ln w="28575" cap="rnd">
              <a:solidFill>
                <a:srgbClr val="13A10E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13A10E"/>
              </a:solidFill>
              <a:ln w="9525">
                <a:solidFill>
                  <a:srgbClr val="13A10E"/>
                </a:solidFill>
              </a:ln>
              <a:effectLst/>
            </c:spPr>
          </c:marker>
          <c:cat>
            <c:strRef>
              <c:f>'SALES BY DIVISION '!$A$5:$A$8</c:f>
              <c:strCache>
                <c:ptCount val="4"/>
                <c:pt idx="0">
                  <c:v>Sum of Q1</c:v>
                </c:pt>
                <c:pt idx="1">
                  <c:v>Sum of Q2</c:v>
                </c:pt>
                <c:pt idx="2">
                  <c:v>Sum of Q3</c:v>
                </c:pt>
                <c:pt idx="3">
                  <c:v>Sum of Q4</c:v>
                </c:pt>
              </c:strCache>
            </c:strRef>
          </c:cat>
          <c:val>
            <c:numRef>
              <c:f>'SALES BY DIVISION '!$F$5:$F$8</c:f>
              <c:numCache>
                <c:formatCode>"₹"\ #,##0.00</c:formatCode>
                <c:ptCount val="4"/>
                <c:pt idx="0">
                  <c:v>1063214</c:v>
                </c:pt>
                <c:pt idx="1">
                  <c:v>927950</c:v>
                </c:pt>
                <c:pt idx="2">
                  <c:v>1198647</c:v>
                </c:pt>
                <c:pt idx="3">
                  <c:v>1127587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580-4EE3-8CBA-C3C9F1F10450}"/>
            </c:ext>
          </c:extLst>
        </c:ser>
        <c:ser>
          <c:idx val="5"/>
          <c:order val="5"/>
          <c:tx>
            <c:strRef>
              <c:f>'SALES BY DIVISION '!$G$3:$G$4</c:f>
              <c:strCache>
                <c:ptCount val="1"/>
                <c:pt idx="0">
                  <c:v>TV &amp; Home Appliances</c:v>
                </c:pt>
              </c:strCache>
            </c:strRef>
          </c:tx>
          <c:spPr>
            <a:ln w="28575" cap="rnd">
              <a:solidFill>
                <a:srgbClr val="3A96DD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3A96DD"/>
              </a:solidFill>
              <a:ln w="9525">
                <a:solidFill>
                  <a:srgbClr val="3A96DD"/>
                </a:solidFill>
              </a:ln>
              <a:effectLst/>
            </c:spPr>
          </c:marker>
          <c:cat>
            <c:strRef>
              <c:f>'SALES BY DIVISION '!$A$5:$A$8</c:f>
              <c:strCache>
                <c:ptCount val="4"/>
                <c:pt idx="0">
                  <c:v>Sum of Q1</c:v>
                </c:pt>
                <c:pt idx="1">
                  <c:v>Sum of Q2</c:v>
                </c:pt>
                <c:pt idx="2">
                  <c:v>Sum of Q3</c:v>
                </c:pt>
                <c:pt idx="3">
                  <c:v>Sum of Q4</c:v>
                </c:pt>
              </c:strCache>
            </c:strRef>
          </c:cat>
          <c:val>
            <c:numRef>
              <c:f>'SALES BY DIVISION '!$G$5:$G$8</c:f>
              <c:numCache>
                <c:formatCode>"₹"\ #,##0.00</c:formatCode>
                <c:ptCount val="4"/>
                <c:pt idx="0">
                  <c:v>334695</c:v>
                </c:pt>
                <c:pt idx="1">
                  <c:v>315488</c:v>
                </c:pt>
                <c:pt idx="2">
                  <c:v>374688</c:v>
                </c:pt>
                <c:pt idx="3">
                  <c:v>393914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580-4EE3-8CBA-C3C9F1F10450}"/>
            </c:ext>
          </c:extLst>
        </c:ser>
        <c:ser>
          <c:idx val="6"/>
          <c:order val="6"/>
          <c:tx>
            <c:strRef>
              <c:f>'SALES BY DIVISION '!$H$3:$H$4</c:f>
              <c:strCache>
                <c:ptCount val="1"/>
                <c:pt idx="0">
                  <c:v>Wearables</c:v>
                </c:pt>
              </c:strCache>
            </c:strRef>
          </c:tx>
          <c:spPr>
            <a:ln w="28575" cap="rnd">
              <a:solidFill>
                <a:srgbClr val="CA501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A5010"/>
              </a:solidFill>
              <a:ln w="9525">
                <a:solidFill>
                  <a:srgbClr val="CA5010"/>
                </a:solidFill>
              </a:ln>
              <a:effectLst/>
            </c:spPr>
          </c:marker>
          <c:cat>
            <c:strRef>
              <c:f>'SALES BY DIVISION '!$A$5:$A$8</c:f>
              <c:strCache>
                <c:ptCount val="4"/>
                <c:pt idx="0">
                  <c:v>Sum of Q1</c:v>
                </c:pt>
                <c:pt idx="1">
                  <c:v>Sum of Q2</c:v>
                </c:pt>
                <c:pt idx="2">
                  <c:v>Sum of Q3</c:v>
                </c:pt>
                <c:pt idx="3">
                  <c:v>Sum of Q4</c:v>
                </c:pt>
              </c:strCache>
            </c:strRef>
          </c:cat>
          <c:val>
            <c:numRef>
              <c:f>'SALES BY DIVISION '!$H$5:$H$8</c:f>
              <c:numCache>
                <c:formatCode>"₹"\ #,##0.00</c:formatCode>
                <c:ptCount val="4"/>
                <c:pt idx="0">
                  <c:v>405538</c:v>
                </c:pt>
                <c:pt idx="1">
                  <c:v>94204</c:v>
                </c:pt>
                <c:pt idx="2">
                  <c:v>503084</c:v>
                </c:pt>
                <c:pt idx="3">
                  <c:v>450096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580-4EE3-8CBA-C3C9F1F104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0604551"/>
        <c:axId val="1370606599"/>
      </c:lineChart>
      <c:catAx>
        <c:axId val="1370604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606599"/>
        <c:crosses val="autoZero"/>
        <c:auto val="1"/>
        <c:lblAlgn val="ctr"/>
        <c:lblOffset val="100"/>
        <c:noMultiLvlLbl val="0"/>
      </c:catAx>
      <c:valAx>
        <c:axId val="1370606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604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[sales_formatting.xlsx]PROGREES CATEGORY 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Progrees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'PROGREES CATEGORY '!$B$3:$B$4</c:f>
              <c:strCache>
                <c:ptCount val="1"/>
                <c:pt idx="0">
                  <c:v>100%+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'PROGREES CATEGORY 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'PROGREES CATEGORY '!$B$5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27-417D-98D0-B0D734D336B8}"/>
            </c:ext>
          </c:extLst>
        </c:ser>
        <c:ser>
          <c:idx val="1"/>
          <c:order val="1"/>
          <c:tx>
            <c:strRef>
              <c:f>'PROGREES CATEGORY '!$C$3:$C$4</c:f>
              <c:strCache>
                <c:ptCount val="1"/>
                <c:pt idx="0">
                  <c:v>50%-60%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'PROGREES CATEGORY 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'PROGREES CATEGORY '!$C$5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27-417D-98D0-B0D734D336B8}"/>
            </c:ext>
          </c:extLst>
        </c:ser>
        <c:ser>
          <c:idx val="2"/>
          <c:order val="2"/>
          <c:tx>
            <c:strRef>
              <c:f>'PROGREES CATEGORY '!$D$3:$D$4</c:f>
              <c:strCache>
                <c:ptCount val="1"/>
                <c:pt idx="0">
                  <c:v>60%-70%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'PROGREES CATEGORY 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'PROGREES CATEGORY '!$D$5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E27-417D-98D0-B0D734D336B8}"/>
            </c:ext>
          </c:extLst>
        </c:ser>
        <c:ser>
          <c:idx val="3"/>
          <c:order val="3"/>
          <c:tx>
            <c:strRef>
              <c:f>'PROGREES CATEGORY '!$E$3:$E$4</c:f>
              <c:strCache>
                <c:ptCount val="1"/>
                <c:pt idx="0">
                  <c:v>70%-80%</c:v>
                </c:pt>
              </c:strCache>
            </c:strRef>
          </c:tx>
          <c:spPr>
            <a:solidFill>
              <a:srgbClr val="9373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'PROGREES CATEGORY 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'PROGREES CATEGORY '!$E$5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E27-417D-98D0-B0D734D336B8}"/>
            </c:ext>
          </c:extLst>
        </c:ser>
        <c:ser>
          <c:idx val="4"/>
          <c:order val="4"/>
          <c:tx>
            <c:strRef>
              <c:f>'PROGREES CATEGORY '!$F$3:$F$4</c:f>
              <c:strCache>
                <c:ptCount val="1"/>
                <c:pt idx="0">
                  <c:v>80%-90%</c:v>
                </c:pt>
              </c:strCache>
            </c:strRef>
          </c:tx>
          <c:spPr>
            <a:solidFill>
              <a:srgbClr val="13A10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'PROGREES CATEGORY 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'PROGREES CATEGORY '!$F$5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E27-417D-98D0-B0D734D336B8}"/>
            </c:ext>
          </c:extLst>
        </c:ser>
        <c:ser>
          <c:idx val="5"/>
          <c:order val="5"/>
          <c:tx>
            <c:strRef>
              <c:f>'PROGREES CATEGORY '!$G$3:$G$4</c:f>
              <c:strCache>
                <c:ptCount val="1"/>
                <c:pt idx="0">
                  <c:v>90%-100%</c:v>
                </c:pt>
              </c:strCache>
            </c:strRef>
          </c:tx>
          <c:spPr>
            <a:solidFill>
              <a:srgbClr val="3A96D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'PROGREES CATEGORY 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'PROGREES CATEGORY '!$G$5</c:f>
              <c:numCache>
                <c:formatCode>General</c:formatCode>
                <c:ptCount val="1"/>
                <c:pt idx="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E27-417D-98D0-B0D734D33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2808072"/>
        <c:axId val="700072968"/>
      </c:barChart>
      <c:catAx>
        <c:axId val="942808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0072968"/>
        <c:crosses val="autoZero"/>
        <c:auto val="1"/>
        <c:lblAlgn val="ctr"/>
        <c:lblOffset val="100"/>
        <c:noMultiLvlLbl val="0"/>
      </c:catAx>
      <c:valAx>
        <c:axId val="700072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808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352425</xdr:colOff>
      <xdr:row>2</xdr:row>
      <xdr:rowOff>57150</xdr:rowOff>
    </xdr:from>
    <xdr:to>
      <xdr:col>15</xdr:col>
      <xdr:colOff>504825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9A6A9E-5456-871C-864D-DB2ED388B4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</xdr:colOff>
      <xdr:row>1</xdr:row>
      <xdr:rowOff>171450</xdr:rowOff>
    </xdr:from>
    <xdr:to>
      <xdr:col>12</xdr:col>
      <xdr:colOff>1019175</xdr:colOff>
      <xdr:row>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13D6E3-42F7-4C82-B710-1EDE6C51F7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87.748549189811" createdVersion="8" refreshedVersion="8" minRefreshableVersion="3" recordCount="35" xr:uid="{BFEFF305-F1FB-422F-9DCE-EAD297ABBD8D}">
  <cacheSource type="worksheet">
    <worksheetSource ref="A2:K37" sheet="SALES DATA 2"/>
  </cacheSource>
  <cacheFields count="11">
    <cacheField name="sr.no" numFmtId="0">
      <sharedItems containsSemiMixedTypes="0" containsString="0" containsNumber="1" containsInteger="1" minValue="1" maxValue="35"/>
    </cacheField>
    <cacheField name="Empolyee Name" numFmtId="0">
      <sharedItems count="35">
        <s v="Aman Sharma"/>
        <s v="Priya Verma"/>
        <s v="Arjun Malhotra"/>
        <s v="Riya Patel"/>
        <s v="Mohit Singh"/>
        <s v="Neha Gupta"/>
        <s v="Rohit Reddy"/>
        <s v="Sana Khan"/>
        <s v="Vikram Joshi"/>
        <s v="Anjali Rao"/>
        <s v="Meera Iyer "/>
        <s v="Karan Mehta"/>
        <s v="Siddharth Nair "/>
        <s v="Pooja Desai "/>
        <s v="Rahul Kapoor"/>
        <s v="Isha Sen"/>
        <s v="Vivek Kumar"/>
        <s v="Anita Choudhary"/>
        <s v="Devansh Bhatt "/>
        <s v="Tanya Roy"/>
        <s v="Sameer Kulkarni"/>
        <s v="Shruti Bansal"/>
        <s v="Aditya Singh "/>
        <s v="Komal Agarwal"/>
        <s v="Tarun Das"/>
        <s v="Nikita Goyal"/>
        <s v="Manish Yadav"/>
        <s v="Bhavna Saxena"/>
        <s v="Rakesh Pillai"/>
        <s v="Gauri Menon"/>
        <s v="Kushal Anand"/>
        <s v="Sheetal Prasad"/>
        <s v="Harish Perera"/>
        <s v="Leena Thomas"/>
        <s v="Zara Qureshi"/>
      </sharedItems>
    </cacheField>
    <cacheField name="Division" numFmtId="0">
      <sharedItems count="7">
        <s v="Enterprises Solutions"/>
        <s v="Smartphone Sales"/>
        <s v="Laptops &amp; Tablets"/>
        <s v="Wearables"/>
        <s v="TV &amp; Home Appliances"/>
        <s v="Semiconductors"/>
        <s v="Memory &amp; Storage"/>
      </sharedItems>
    </cacheField>
    <cacheField name="Q1" numFmtId="164">
      <sharedItems containsSemiMixedTypes="0" containsString="0" containsNumber="1" containsInteger="1" minValue="53211" maxValue="404256"/>
    </cacheField>
    <cacheField name="Q2" numFmtId="164">
      <sharedItems containsSemiMixedTypes="0" containsString="0" containsNumber="1" containsInteger="1" minValue="5214" maxValue="254134"/>
    </cacheField>
    <cacheField name="Q3" numFmtId="164">
      <sharedItems containsSemiMixedTypes="0" containsString="0" containsNumber="1" containsInteger="1" minValue="68124" maxValue="375012"/>
    </cacheField>
    <cacheField name="Q4" numFmtId="164">
      <sharedItems containsSemiMixedTypes="0" containsString="0" containsNumber="1" containsInteger="1" minValue="74903" maxValue="420100"/>
    </cacheField>
    <cacheField name="Total Sales" numFmtId="164">
      <sharedItems containsSemiMixedTypes="0" containsString="0" containsNumber="1" containsInteger="1" minValue="254613" maxValue="1220939"/>
    </cacheField>
    <cacheField name="Annual Targets" numFmtId="164">
      <sharedItems containsSemiMixedTypes="0" containsString="0" containsNumber="1" containsInteger="1" minValue="260000" maxValue="1400000"/>
    </cacheField>
    <cacheField name="% Progrees" numFmtId="10">
      <sharedItems containsSemiMixedTypes="0" containsString="0" containsNumber="1" minValue="0.58573444444444445" maxValue="1.2407023809523809"/>
    </cacheField>
    <cacheField name="Category" numFmtId="0">
      <sharedItems count="6">
        <s v="60%-70%"/>
        <s v="90%-100%"/>
        <s v="80%-90%"/>
        <s v="70%-80%"/>
        <s v="50%-60%"/>
        <s v="100%+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n v="1"/>
    <x v="0"/>
    <x v="0"/>
    <n v="233425"/>
    <n v="102450"/>
    <n v="105218"/>
    <n v="150763"/>
    <n v="591856"/>
    <n v="950000"/>
    <n v="0.62300631578947363"/>
    <x v="0"/>
  </r>
  <r>
    <n v="2"/>
    <x v="1"/>
    <x v="1"/>
    <n v="132109"/>
    <n v="45782"/>
    <n v="217000"/>
    <n v="217152"/>
    <n v="612043"/>
    <n v="620000"/>
    <n v="0.98716612903225809"/>
    <x v="1"/>
  </r>
  <r>
    <n v="3"/>
    <x v="2"/>
    <x v="0"/>
    <n v="319862"/>
    <n v="142578"/>
    <n v="157423"/>
    <n v="226146"/>
    <n v="846009"/>
    <n v="1050000"/>
    <n v="0.80572285714285719"/>
    <x v="2"/>
  </r>
  <r>
    <n v="4"/>
    <x v="3"/>
    <x v="2"/>
    <n v="91986"/>
    <n v="105782"/>
    <n v="105471"/>
    <n v="97631"/>
    <n v="400870"/>
    <n v="410000"/>
    <n v="0.97773170731707315"/>
    <x v="1"/>
  </r>
  <r>
    <n v="5"/>
    <x v="4"/>
    <x v="2"/>
    <n v="134296"/>
    <n v="68452"/>
    <n v="118423"/>
    <n v="112954"/>
    <n v="434125"/>
    <n v="450000"/>
    <n v="0.96472222222222226"/>
    <x v="1"/>
  </r>
  <r>
    <n v="6"/>
    <x v="5"/>
    <x v="0"/>
    <n v="254540"/>
    <n v="45879"/>
    <n v="283412"/>
    <n v="272432"/>
    <n v="856263"/>
    <n v="1100000"/>
    <n v="0.77842090909090911"/>
    <x v="3"/>
  </r>
  <r>
    <n v="7"/>
    <x v="6"/>
    <x v="0"/>
    <n v="176807"/>
    <n v="14578"/>
    <n v="285046"/>
    <n v="302156"/>
    <n v="778587"/>
    <n v="1200000"/>
    <n v="0.64882249999999997"/>
    <x v="0"/>
  </r>
  <r>
    <n v="8"/>
    <x v="7"/>
    <x v="2"/>
    <n v="115399"/>
    <n v="45201"/>
    <n v="112035"/>
    <n v="98501"/>
    <n v="371136"/>
    <n v="380000"/>
    <n v="0.97667368421052636"/>
    <x v="1"/>
  </r>
  <r>
    <n v="9"/>
    <x v="8"/>
    <x v="0"/>
    <n v="243592"/>
    <n v="45781"/>
    <n v="101485"/>
    <n v="136303"/>
    <n v="527161"/>
    <n v="900000"/>
    <n v="0.58573444444444445"/>
    <x v="4"/>
  </r>
  <r>
    <n v="10"/>
    <x v="9"/>
    <x v="1"/>
    <n v="124889"/>
    <n v="24587"/>
    <n v="145326"/>
    <n v="100171"/>
    <n v="394973"/>
    <n v="590000"/>
    <n v="0.6694457627118644"/>
    <x v="0"/>
  </r>
  <r>
    <n v="11"/>
    <x v="10"/>
    <x v="3"/>
    <n v="104943"/>
    <n v="23015"/>
    <n v="88421"/>
    <n v="74903"/>
    <n v="291282"/>
    <n v="310000"/>
    <n v="0.93961935483870973"/>
    <x v="1"/>
  </r>
  <r>
    <n v="12"/>
    <x v="11"/>
    <x v="3"/>
    <n v="53211"/>
    <n v="8745"/>
    <n v="124504"/>
    <n v="93319"/>
    <n v="279779"/>
    <n v="280000"/>
    <n v="0.99921071428571429"/>
    <x v="1"/>
  </r>
  <r>
    <n v="13"/>
    <x v="12"/>
    <x v="0"/>
    <n v="309802"/>
    <n v="124578"/>
    <n v="298412"/>
    <n v="382110"/>
    <n v="1114902"/>
    <n v="1150000"/>
    <n v="0.96948000000000001"/>
    <x v="1"/>
  </r>
  <r>
    <n v="14"/>
    <x v="13"/>
    <x v="1"/>
    <n v="143767"/>
    <n v="145203"/>
    <n v="133254"/>
    <n v="149117"/>
    <n v="571341"/>
    <n v="660000"/>
    <n v="0.86566818181818184"/>
    <x v="2"/>
  </r>
  <r>
    <n v="15"/>
    <x v="14"/>
    <x v="1"/>
    <n v="126141"/>
    <n v="95784"/>
    <n v="148652"/>
    <n v="129873"/>
    <n v="500450"/>
    <n v="640000"/>
    <n v="0.78195312500000003"/>
    <x v="3"/>
  </r>
  <r>
    <n v="16"/>
    <x v="15"/>
    <x v="4"/>
    <n v="118654"/>
    <n v="88452"/>
    <n v="135478"/>
    <n v="143214"/>
    <n v="485798"/>
    <n v="500000"/>
    <n v="0.97159600000000002"/>
    <x v="1"/>
  </r>
  <r>
    <n v="17"/>
    <x v="16"/>
    <x v="5"/>
    <n v="370455"/>
    <n v="145872"/>
    <n v="284512"/>
    <n v="420100"/>
    <n v="1220939"/>
    <n v="1350000"/>
    <n v="0.90439925925925924"/>
    <x v="1"/>
  </r>
  <r>
    <n v="18"/>
    <x v="17"/>
    <x v="1"/>
    <n v="110998"/>
    <n v="254134"/>
    <n v="124598"/>
    <n v="130443"/>
    <n v="620173"/>
    <n v="610000"/>
    <n v="1.0166770491803279"/>
    <x v="5"/>
  </r>
  <r>
    <n v="19"/>
    <x v="18"/>
    <x v="6"/>
    <n v="260113"/>
    <n v="154287"/>
    <n v="298514"/>
    <n v="315281"/>
    <n v="1028195"/>
    <n v="1200000"/>
    <n v="0.85682916666666664"/>
    <x v="2"/>
  </r>
  <r>
    <n v="20"/>
    <x v="19"/>
    <x v="3"/>
    <n v="72811"/>
    <n v="45127"/>
    <n v="124035"/>
    <n v="106104"/>
    <n v="348077"/>
    <n v="395000"/>
    <n v="0.88120759493670886"/>
    <x v="2"/>
  </r>
  <r>
    <n v="21"/>
    <x v="20"/>
    <x v="2"/>
    <n v="87492"/>
    <n v="125478"/>
    <n v="125481"/>
    <n v="122621"/>
    <n v="461072"/>
    <n v="450000"/>
    <n v="1.0246044444444444"/>
    <x v="5"/>
  </r>
  <r>
    <n v="22"/>
    <x v="21"/>
    <x v="1"/>
    <n v="139004"/>
    <n v="124578"/>
    <n v="156487"/>
    <n v="150998"/>
    <n v="571067"/>
    <n v="670000"/>
    <n v="0.85233880597014922"/>
    <x v="2"/>
  </r>
  <r>
    <n v="23"/>
    <x v="22"/>
    <x v="0"/>
    <n v="310650"/>
    <n v="124578"/>
    <n v="375012"/>
    <n v="401702"/>
    <n v="1211942"/>
    <n v="1300000"/>
    <n v="0.93226307692307697"/>
    <x v="1"/>
  </r>
  <r>
    <n v="24"/>
    <x v="23"/>
    <x v="3"/>
    <n v="91171"/>
    <n v="12103"/>
    <n v="68124"/>
    <n v="83215"/>
    <n v="254613"/>
    <n v="260000"/>
    <n v="0.97928076923076923"/>
    <x v="1"/>
  </r>
  <r>
    <n v="25"/>
    <x v="24"/>
    <x v="5"/>
    <n v="404256"/>
    <n v="121405"/>
    <n v="288457"/>
    <n v="366244"/>
    <n v="1180362"/>
    <n v="1400000"/>
    <n v="0.8431157142857143"/>
    <x v="2"/>
  </r>
  <r>
    <n v="26"/>
    <x v="25"/>
    <x v="4"/>
    <n v="95310"/>
    <n v="124578"/>
    <n v="96421"/>
    <n v="113500"/>
    <n v="429809"/>
    <n v="510000"/>
    <n v="0.84276274509803917"/>
    <x v="2"/>
  </r>
  <r>
    <n v="27"/>
    <x v="26"/>
    <x v="6"/>
    <n v="260447"/>
    <n v="89452"/>
    <n v="254166"/>
    <n v="288007"/>
    <n v="892072"/>
    <n v="1100000"/>
    <n v="0.8109745454545455"/>
    <x v="2"/>
  </r>
  <r>
    <n v="28"/>
    <x v="27"/>
    <x v="1"/>
    <n v="147201"/>
    <n v="135426"/>
    <n v="148752"/>
    <n v="128303"/>
    <n v="559682"/>
    <n v="580000"/>
    <n v="0.96496896551724143"/>
    <x v="1"/>
  </r>
  <r>
    <n v="29"/>
    <x v="28"/>
    <x v="0"/>
    <n v="330501"/>
    <n v="45678"/>
    <n v="298451"/>
    <n v="298000"/>
    <n v="972630"/>
    <n v="1250000"/>
    <n v="0.77810400000000002"/>
    <x v="3"/>
  </r>
  <r>
    <n v="30"/>
    <x v="29"/>
    <x v="3"/>
    <n v="83402"/>
    <n v="5214"/>
    <n v="98000"/>
    <n v="92555"/>
    <n v="279171"/>
    <n v="300000"/>
    <n v="0.93057000000000001"/>
    <x v="1"/>
  </r>
  <r>
    <n v="31"/>
    <x v="30"/>
    <x v="5"/>
    <n v="390201"/>
    <n v="102457"/>
    <n v="142578"/>
    <n v="342880"/>
    <n v="978116"/>
    <n v="1380000"/>
    <n v="0.70877971014492758"/>
    <x v="3"/>
  </r>
  <r>
    <n v="32"/>
    <x v="31"/>
    <x v="1"/>
    <n v="139105"/>
    <n v="102456"/>
    <n v="124578"/>
    <n v="121530"/>
    <n v="487669"/>
    <n v="620000"/>
    <n v="0.78656290322580646"/>
    <x v="3"/>
  </r>
  <r>
    <n v="33"/>
    <x v="32"/>
    <x v="2"/>
    <n v="102313"/>
    <n v="145786"/>
    <n v="143586"/>
    <n v="129410"/>
    <n v="521095"/>
    <n v="420000"/>
    <n v="1.2407023809523809"/>
    <x v="5"/>
  </r>
  <r>
    <n v="34"/>
    <x v="33"/>
    <x v="4"/>
    <n v="120731"/>
    <n v="102458"/>
    <n v="142789"/>
    <n v="137200"/>
    <n v="503178"/>
    <n v="540000"/>
    <n v="0.93181111111111115"/>
    <x v="1"/>
  </r>
  <r>
    <n v="35"/>
    <x v="34"/>
    <x v="6"/>
    <n v="300017"/>
    <n v="98412"/>
    <n v="124857"/>
    <n v="341702"/>
    <n v="864988"/>
    <n v="1250000"/>
    <n v="0.6919904000000000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7E2AF5-903C-4F34-B589-B9303AABA559}" name="PivotTable1" cacheId="502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I8" firstHeaderRow="1" firstDataRow="2" firstDataCol="1"/>
  <pivotFields count="11">
    <pivotField compact="0" outline="0" showAll="0"/>
    <pivotField compact="0" outline="0" showAll="0"/>
    <pivotField axis="axisCol" compact="0" outline="0" showAll="0">
      <items count="8">
        <item x="0"/>
        <item x="2"/>
        <item x="6"/>
        <item x="5"/>
        <item x="1"/>
        <item x="4"/>
        <item x="3"/>
        <item t="default"/>
      </items>
    </pivotField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compact="0" numFmtId="164" outline="0" showAll="0"/>
    <pivotField compact="0" numFmtId="164" outline="0" showAll="0"/>
    <pivotField compact="0" numFmtId="10" outline="0" showAll="0"/>
    <pivotField compact="0" outline="0" showAll="0"/>
  </pivotFields>
  <rowFields count="1">
    <field x="-2"/>
  </rowFields>
  <rowItems count="4">
    <i>
      <x/>
    </i>
    <i i="1">
      <x v="1"/>
    </i>
    <i i="2">
      <x v="2"/>
    </i>
    <i i="3">
      <x v="3"/>
    </i>
  </rowItems>
  <colFields count="1">
    <field x="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4">
    <dataField name="Sum of Q1" fld="3" baseField="0" baseItem="0" numFmtId="164"/>
    <dataField name="Sum of Q2" fld="4" baseField="0" baseItem="0" numFmtId="164"/>
    <dataField name="Sum of Q3" fld="5" baseField="0" baseItem="0" numFmtId="164"/>
    <dataField name="Sum of Q4" fld="6" baseField="0" baseItem="0" numFmtId="164"/>
  </dataFields>
  <formats count="9">
    <format dxfId="24">
      <pivotArea type="all" dataOnly="0" outline="0" fieldPosition="0"/>
    </format>
    <format dxfId="25">
      <pivotArea outline="0" collapsedLevelsAreSubtotals="1" fieldPosition="0"/>
    </format>
    <format dxfId="26">
      <pivotArea type="origin" dataOnly="0" labelOnly="1" outline="0" fieldPosition="0"/>
    </format>
    <format dxfId="27">
      <pivotArea field="2" type="button" dataOnly="0" labelOnly="1" outline="0" axis="axisCol" fieldPosition="0"/>
    </format>
    <format dxfId="28">
      <pivotArea type="topRight" dataOnly="0" labelOnly="1" outline="0" fieldPosition="0"/>
    </format>
    <format dxfId="29">
      <pivotArea field="-2" type="button" dataOnly="0" labelOnly="1" outline="0" axis="axisRow" fieldPosition="0"/>
    </format>
    <format dxfId="3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1">
      <pivotArea dataOnly="0" labelOnly="1" outline="0" fieldPosition="0">
        <references count="1">
          <reference field="2" count="0"/>
        </references>
      </pivotArea>
    </format>
    <format dxfId="32">
      <pivotArea dataOnly="0" labelOnly="1" grandCol="1" outline="0" fieldPosition="0"/>
    </format>
  </formats>
  <chartFormats count="1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E36391-FC0C-43E8-B16C-C0716CF329AE}" name="PivotTable2" cacheId="50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3:H5" firstHeaderRow="1" firstDataRow="2" firstDataCol="1"/>
  <pivotFields count="11">
    <pivotField compact="0" outline="0" showAll="0"/>
    <pivotField dataField="1" compact="0" outline="0" showAll="0">
      <items count="36">
        <item x="22"/>
        <item x="0"/>
        <item x="17"/>
        <item x="9"/>
        <item x="2"/>
        <item x="27"/>
        <item x="18"/>
        <item x="29"/>
        <item x="32"/>
        <item x="15"/>
        <item x="11"/>
        <item x="23"/>
        <item x="30"/>
        <item x="33"/>
        <item x="26"/>
        <item x="10"/>
        <item x="4"/>
        <item x="5"/>
        <item x="25"/>
        <item x="13"/>
        <item x="1"/>
        <item x="14"/>
        <item x="28"/>
        <item x="3"/>
        <item x="6"/>
        <item x="20"/>
        <item x="7"/>
        <item x="31"/>
        <item x="21"/>
        <item x="12"/>
        <item x="19"/>
        <item x="24"/>
        <item x="8"/>
        <item x="16"/>
        <item x="34"/>
        <item t="default"/>
      </items>
    </pivotField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0" outline="0" showAll="0"/>
    <pivotField axis="axisCol" compact="0" outline="0" showAll="0">
      <items count="7">
        <item x="5"/>
        <item x="4"/>
        <item x="0"/>
        <item x="3"/>
        <item x="2"/>
        <item x="1"/>
        <item t="default"/>
      </items>
    </pivotField>
  </pivotFields>
  <rowItems count="1">
    <i/>
  </rowItems>
  <colFields count="1">
    <field x="1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Empolyee Name" fld="1" subtotal="count" baseField="0" baseItem="0"/>
  </dataFields>
  <formats count="6">
    <format dxfId="18">
      <pivotArea type="all" dataOnly="0" outline="0" fieldPosition="0"/>
    </format>
    <format dxfId="19">
      <pivotArea outline="0" collapsedLevelsAreSubtotals="1" fieldPosition="0"/>
    </format>
    <format dxfId="20">
      <pivotArea type="origin" dataOnly="0" labelOnly="1" outline="0" fieldPosition="0"/>
    </format>
    <format dxfId="21">
      <pivotArea dataOnly="0" labelOnly="1" outline="0" axis="axisValues" fieldPosition="0"/>
    </format>
    <format dxfId="22">
      <pivotArea field="10" type="button" dataOnly="0" labelOnly="1" outline="0" axis="axisCol" fieldPosition="0"/>
    </format>
    <format dxfId="23">
      <pivotArea type="topRight" dataOnly="0" labelOnly="1" outline="0" fieldPosition="0"/>
    </format>
  </formats>
  <chartFormats count="1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E9F088-0FB6-4A1F-9542-8715DC5DA9BD}" name="Table2" displayName="Table2" ref="A2:J37" totalsRowShown="0" headerRowDxfId="15" dataDxfId="14">
  <autoFilter ref="A2:J37" xr:uid="{CFE9F088-0FB6-4A1F-9542-8715DC5DA9BD}"/>
  <tableColumns count="10">
    <tableColumn id="1" xr3:uid="{EBD8D2E6-6478-4636-9F8E-3BFCAFFDB515}" name="Sr.  No." dataDxfId="13"/>
    <tableColumn id="2" xr3:uid="{9F111B66-99A6-440C-A0BF-40B35455E60C}" name="Employee Name" dataDxfId="12"/>
    <tableColumn id="3" xr3:uid="{E3F33879-FA13-41EA-9A72-BC8D7FB93118}" name="Division" dataDxfId="11"/>
    <tableColumn id="4" xr3:uid="{1F8EE443-6FD5-4095-9017-22F09C3157E0}" name="Q1" dataDxfId="10"/>
    <tableColumn id="5" xr3:uid="{D90FEB77-0FA2-4AD9-853A-2CF533D04B75}" name="Q2" dataDxfId="9"/>
    <tableColumn id="6" xr3:uid="{99226C7A-D496-4F88-92F1-8A25768D7A31}" name="Q3" dataDxfId="8"/>
    <tableColumn id="7" xr3:uid="{2E3C0ECA-E43E-426F-A1DF-AAA589F60ABA}" name="Q4" dataDxfId="7"/>
    <tableColumn id="8" xr3:uid="{27E17EC4-F2E5-4F53-A902-5A139268148F}" name="Total Sales" dataDxfId="6">
      <calculatedColumnFormula>SUM(D3:G3)</calculatedColumnFormula>
    </tableColumn>
    <tableColumn id="9" xr3:uid="{974EEBA2-159D-4CBE-9475-B019177295C8}" name="Annual Target" dataDxfId="5"/>
    <tableColumn id="10" xr3:uid="{4B0220E0-93D3-4AC4-86DF-1343FB9FAC91}" name="% Progrees " dataDxfId="4">
      <calculatedColumnFormula>H3/I3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inkedin.com/in/rutujashankpa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"/>
  <sheetViews>
    <sheetView workbookViewId="0">
      <selection activeCell="D9" sqref="D9"/>
    </sheetView>
  </sheetViews>
  <sheetFormatPr defaultRowHeight="15"/>
  <cols>
    <col min="1" max="1" width="8.85546875" customWidth="1"/>
    <col min="2" max="2" width="17.42578125" style="3" customWidth="1"/>
    <col min="3" max="3" width="20.7109375" bestFit="1" customWidth="1"/>
    <col min="4" max="6" width="12.7109375" style="2" customWidth="1"/>
    <col min="7" max="7" width="8.5703125" style="2" customWidth="1"/>
    <col min="8" max="8" width="13.85546875" style="2" customWidth="1"/>
    <col min="9" max="9" width="17.85546875" style="2" customWidth="1"/>
    <col min="10" max="10" width="13.140625" customWidth="1"/>
  </cols>
  <sheetData>
    <row r="1" spans="1:12" ht="30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24.75" customHeight="1">
      <c r="A2" s="6" t="s">
        <v>1</v>
      </c>
      <c r="B2" s="5" t="s">
        <v>2</v>
      </c>
      <c r="C2" s="1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1" t="s">
        <v>10</v>
      </c>
    </row>
    <row r="3" spans="1:12">
      <c r="A3" s="7">
        <v>1</v>
      </c>
      <c r="B3" s="8" t="s">
        <v>11</v>
      </c>
      <c r="C3" s="7" t="s">
        <v>12</v>
      </c>
      <c r="D3" s="9">
        <v>233425</v>
      </c>
      <c r="E3" s="9">
        <v>150763</v>
      </c>
      <c r="F3" s="9">
        <v>105218</v>
      </c>
      <c r="G3" s="9"/>
      <c r="H3" s="9">
        <f>SUM(D3:G3)</f>
        <v>489406</v>
      </c>
      <c r="I3" s="9">
        <v>950000</v>
      </c>
      <c r="J3" s="10">
        <f>H3/I3</f>
        <v>0.51516421052631578</v>
      </c>
    </row>
    <row r="4" spans="1:12">
      <c r="A4" s="7">
        <v>2</v>
      </c>
      <c r="B4" s="8" t="s">
        <v>13</v>
      </c>
      <c r="C4" s="7" t="s">
        <v>14</v>
      </c>
      <c r="D4" s="9">
        <v>132109</v>
      </c>
      <c r="E4" s="9">
        <v>217152</v>
      </c>
      <c r="F4" s="9">
        <v>217000</v>
      </c>
      <c r="G4" s="9"/>
      <c r="H4" s="9">
        <f t="shared" ref="H4:H43" si="0">SUM(D4:G4)</f>
        <v>566261</v>
      </c>
      <c r="I4" s="9">
        <v>620000</v>
      </c>
      <c r="J4" s="10">
        <f t="shared" ref="J4:J37" si="1">H4/I4</f>
        <v>0.91332419354838712</v>
      </c>
    </row>
    <row r="5" spans="1:12">
      <c r="A5" s="7">
        <v>3</v>
      </c>
      <c r="B5" s="8" t="s">
        <v>15</v>
      </c>
      <c r="C5" s="7" t="s">
        <v>12</v>
      </c>
      <c r="D5" s="9">
        <v>319862</v>
      </c>
      <c r="E5" s="9">
        <v>226146</v>
      </c>
      <c r="F5" s="9">
        <v>157423</v>
      </c>
      <c r="G5" s="9"/>
      <c r="H5" s="9">
        <f t="shared" si="0"/>
        <v>703431</v>
      </c>
      <c r="I5" s="9">
        <v>1050000</v>
      </c>
      <c r="J5" s="10">
        <f t="shared" si="1"/>
        <v>0.6699342857142857</v>
      </c>
    </row>
    <row r="6" spans="1:12">
      <c r="A6" s="7">
        <v>4</v>
      </c>
      <c r="B6" s="8" t="s">
        <v>16</v>
      </c>
      <c r="C6" s="7" t="s">
        <v>17</v>
      </c>
      <c r="D6" s="9">
        <v>91986</v>
      </c>
      <c r="E6" s="9">
        <v>97631</v>
      </c>
      <c r="F6" s="9">
        <v>105471</v>
      </c>
      <c r="G6" s="9"/>
      <c r="H6" s="9">
        <f t="shared" si="0"/>
        <v>295088</v>
      </c>
      <c r="I6" s="9">
        <v>410000</v>
      </c>
      <c r="J6" s="10">
        <f t="shared" si="1"/>
        <v>0.71972682926829268</v>
      </c>
    </row>
    <row r="7" spans="1:12">
      <c r="A7" s="7">
        <v>5</v>
      </c>
      <c r="B7" s="8" t="s">
        <v>18</v>
      </c>
      <c r="C7" s="7" t="s">
        <v>17</v>
      </c>
      <c r="D7" s="9">
        <v>134296</v>
      </c>
      <c r="E7" s="9">
        <v>112954</v>
      </c>
      <c r="F7" s="9">
        <v>118423</v>
      </c>
      <c r="G7" s="9"/>
      <c r="H7" s="9">
        <f t="shared" si="0"/>
        <v>365673</v>
      </c>
      <c r="I7" s="9">
        <v>450000</v>
      </c>
      <c r="J7" s="10">
        <f t="shared" si="1"/>
        <v>0.8126066666666667</v>
      </c>
    </row>
    <row r="8" spans="1:12">
      <c r="A8" s="7">
        <v>6</v>
      </c>
      <c r="B8" s="8" t="s">
        <v>19</v>
      </c>
      <c r="C8" s="7" t="s">
        <v>12</v>
      </c>
      <c r="D8" s="9">
        <v>254540</v>
      </c>
      <c r="E8" s="9">
        <v>272432</v>
      </c>
      <c r="F8" s="9">
        <v>283412</v>
      </c>
      <c r="G8" s="9"/>
      <c r="H8" s="9">
        <f t="shared" si="0"/>
        <v>810384</v>
      </c>
      <c r="I8" s="9">
        <v>1100000</v>
      </c>
      <c r="J8" s="10">
        <f t="shared" si="1"/>
        <v>0.7367127272727273</v>
      </c>
    </row>
    <row r="9" spans="1:12">
      <c r="A9" s="7">
        <v>7</v>
      </c>
      <c r="B9" s="8" t="s">
        <v>20</v>
      </c>
      <c r="C9" s="7" t="s">
        <v>12</v>
      </c>
      <c r="D9" s="9">
        <v>176807</v>
      </c>
      <c r="E9" s="9">
        <v>302156</v>
      </c>
      <c r="F9" s="9">
        <v>285046</v>
      </c>
      <c r="G9" s="9"/>
      <c r="H9" s="9">
        <f t="shared" si="0"/>
        <v>764009</v>
      </c>
      <c r="I9" s="9">
        <v>1200000</v>
      </c>
      <c r="J9" s="10">
        <f t="shared" si="1"/>
        <v>0.63667416666666665</v>
      </c>
    </row>
    <row r="10" spans="1:12">
      <c r="A10" s="7">
        <v>8</v>
      </c>
      <c r="B10" s="8" t="s">
        <v>21</v>
      </c>
      <c r="C10" s="7" t="s">
        <v>17</v>
      </c>
      <c r="D10" s="9">
        <v>115399</v>
      </c>
      <c r="E10" s="9">
        <v>98501</v>
      </c>
      <c r="F10" s="9">
        <v>112035</v>
      </c>
      <c r="G10" s="9"/>
      <c r="H10" s="9">
        <f t="shared" si="0"/>
        <v>325935</v>
      </c>
      <c r="I10" s="9">
        <v>380000</v>
      </c>
      <c r="J10" s="10">
        <f t="shared" si="1"/>
        <v>0.85772368421052636</v>
      </c>
    </row>
    <row r="11" spans="1:12">
      <c r="A11" s="7">
        <v>9</v>
      </c>
      <c r="B11" s="8" t="s">
        <v>22</v>
      </c>
      <c r="C11" s="7" t="s">
        <v>12</v>
      </c>
      <c r="D11" s="9">
        <v>243592</v>
      </c>
      <c r="E11" s="9">
        <v>136303</v>
      </c>
      <c r="F11" s="9">
        <v>101485</v>
      </c>
      <c r="G11" s="9"/>
      <c r="H11" s="9">
        <f t="shared" si="0"/>
        <v>481380</v>
      </c>
      <c r="I11" s="9">
        <v>900000</v>
      </c>
      <c r="J11" s="10">
        <f t="shared" si="1"/>
        <v>0.53486666666666671</v>
      </c>
    </row>
    <row r="12" spans="1:12">
      <c r="A12" s="7">
        <v>10</v>
      </c>
      <c r="B12" s="8" t="s">
        <v>23</v>
      </c>
      <c r="C12" s="7" t="s">
        <v>14</v>
      </c>
      <c r="D12" s="9">
        <v>124889</v>
      </c>
      <c r="E12" s="9">
        <v>100171</v>
      </c>
      <c r="F12" s="9">
        <v>145326</v>
      </c>
      <c r="G12" s="9"/>
      <c r="H12" s="9">
        <f t="shared" si="0"/>
        <v>370386</v>
      </c>
      <c r="I12" s="9">
        <v>590000</v>
      </c>
      <c r="J12" s="10">
        <f t="shared" si="1"/>
        <v>0.62777288135593223</v>
      </c>
    </row>
    <row r="13" spans="1:12">
      <c r="A13" s="7">
        <v>11</v>
      </c>
      <c r="B13" s="8" t="s">
        <v>24</v>
      </c>
      <c r="C13" s="7" t="s">
        <v>25</v>
      </c>
      <c r="D13" s="9">
        <v>104943</v>
      </c>
      <c r="E13" s="9">
        <v>74903</v>
      </c>
      <c r="F13" s="9">
        <v>88421</v>
      </c>
      <c r="G13" s="9"/>
      <c r="H13" s="9">
        <f t="shared" si="0"/>
        <v>268267</v>
      </c>
      <c r="I13" s="9">
        <v>310000</v>
      </c>
      <c r="J13" s="10">
        <f t="shared" si="1"/>
        <v>0.8653774193548387</v>
      </c>
    </row>
    <row r="14" spans="1:12">
      <c r="A14" s="7">
        <v>12</v>
      </c>
      <c r="B14" s="8" t="s">
        <v>26</v>
      </c>
      <c r="C14" s="7" t="s">
        <v>25</v>
      </c>
      <c r="D14" s="9">
        <v>53211</v>
      </c>
      <c r="E14" s="9">
        <v>93319</v>
      </c>
      <c r="F14" s="9">
        <v>130475</v>
      </c>
      <c r="G14" s="9"/>
      <c r="H14" s="9">
        <f t="shared" si="0"/>
        <v>277005</v>
      </c>
      <c r="I14" s="9">
        <v>280000</v>
      </c>
      <c r="J14" s="10">
        <f t="shared" si="1"/>
        <v>0.98930357142857139</v>
      </c>
    </row>
    <row r="15" spans="1:12">
      <c r="A15" s="7">
        <v>13</v>
      </c>
      <c r="B15" s="8" t="s">
        <v>27</v>
      </c>
      <c r="C15" s="7" t="s">
        <v>12</v>
      </c>
      <c r="D15" s="9">
        <v>309802</v>
      </c>
      <c r="E15" s="9">
        <v>382110</v>
      </c>
      <c r="F15" s="9">
        <v>298412</v>
      </c>
      <c r="G15" s="9"/>
      <c r="H15" s="9">
        <f t="shared" si="0"/>
        <v>990324</v>
      </c>
      <c r="I15" s="9">
        <v>1150000</v>
      </c>
      <c r="J15" s="10">
        <f t="shared" si="1"/>
        <v>0.86115130434782605</v>
      </c>
    </row>
    <row r="16" spans="1:12">
      <c r="A16" s="7">
        <v>14</v>
      </c>
      <c r="B16" s="8" t="s">
        <v>28</v>
      </c>
      <c r="C16" s="7" t="s">
        <v>14</v>
      </c>
      <c r="D16" s="9">
        <v>143767</v>
      </c>
      <c r="E16" s="9">
        <v>149117</v>
      </c>
      <c r="F16" s="9">
        <v>133254</v>
      </c>
      <c r="G16" s="9"/>
      <c r="H16" s="9">
        <f t="shared" si="0"/>
        <v>426138</v>
      </c>
      <c r="I16" s="9">
        <v>660000</v>
      </c>
      <c r="J16" s="10">
        <f t="shared" si="1"/>
        <v>0.64566363636363633</v>
      </c>
    </row>
    <row r="17" spans="1:10">
      <c r="A17" s="7">
        <v>15</v>
      </c>
      <c r="B17" s="8" t="s">
        <v>29</v>
      </c>
      <c r="C17" s="7" t="s">
        <v>14</v>
      </c>
      <c r="D17" s="9">
        <v>126141</v>
      </c>
      <c r="E17" s="9">
        <v>129873</v>
      </c>
      <c r="F17" s="9">
        <v>148652</v>
      </c>
      <c r="G17" s="9"/>
      <c r="H17" s="9">
        <f t="shared" si="0"/>
        <v>404666</v>
      </c>
      <c r="I17" s="9">
        <v>640000</v>
      </c>
      <c r="J17" s="10">
        <f t="shared" si="1"/>
        <v>0.632290625</v>
      </c>
    </row>
    <row r="18" spans="1:10">
      <c r="A18" s="7">
        <v>16</v>
      </c>
      <c r="B18" s="8" t="s">
        <v>30</v>
      </c>
      <c r="C18" s="7" t="s">
        <v>31</v>
      </c>
      <c r="D18" s="9">
        <v>118654</v>
      </c>
      <c r="E18" s="9">
        <v>143214</v>
      </c>
      <c r="F18" s="9">
        <v>135478</v>
      </c>
      <c r="G18" s="9"/>
      <c r="H18" s="9">
        <f t="shared" si="0"/>
        <v>397346</v>
      </c>
      <c r="I18" s="9">
        <v>500000</v>
      </c>
      <c r="J18" s="10">
        <f t="shared" si="1"/>
        <v>0.79469199999999995</v>
      </c>
    </row>
    <row r="19" spans="1:10">
      <c r="A19" s="7">
        <v>17</v>
      </c>
      <c r="B19" s="8" t="s">
        <v>32</v>
      </c>
      <c r="C19" s="7" t="s">
        <v>33</v>
      </c>
      <c r="D19" s="9">
        <v>370455</v>
      </c>
      <c r="E19" s="9">
        <v>420100</v>
      </c>
      <c r="F19" s="9">
        <v>284512</v>
      </c>
      <c r="G19" s="9"/>
      <c r="H19" s="9">
        <f t="shared" si="0"/>
        <v>1075067</v>
      </c>
      <c r="I19" s="9">
        <v>1350000</v>
      </c>
      <c r="J19" s="10">
        <f t="shared" si="1"/>
        <v>0.7963459259259259</v>
      </c>
    </row>
    <row r="20" spans="1:10">
      <c r="A20" s="7">
        <v>18</v>
      </c>
      <c r="B20" s="8" t="s">
        <v>34</v>
      </c>
      <c r="C20" s="7" t="s">
        <v>14</v>
      </c>
      <c r="D20" s="9">
        <v>110998</v>
      </c>
      <c r="E20" s="9">
        <v>130443</v>
      </c>
      <c r="F20" s="9">
        <v>124598</v>
      </c>
      <c r="G20" s="9"/>
      <c r="H20" s="9">
        <f t="shared" si="0"/>
        <v>366039</v>
      </c>
      <c r="I20" s="9">
        <v>610000</v>
      </c>
      <c r="J20" s="10">
        <f t="shared" si="1"/>
        <v>0.60006393442622952</v>
      </c>
    </row>
    <row r="21" spans="1:10">
      <c r="A21" s="7">
        <v>19</v>
      </c>
      <c r="B21" s="8" t="s">
        <v>35</v>
      </c>
      <c r="C21" s="7" t="s">
        <v>36</v>
      </c>
      <c r="D21" s="9">
        <v>260113</v>
      </c>
      <c r="E21" s="9">
        <v>315281</v>
      </c>
      <c r="F21" s="9">
        <v>298514</v>
      </c>
      <c r="G21" s="9"/>
      <c r="H21" s="9">
        <f t="shared" si="0"/>
        <v>873908</v>
      </c>
      <c r="I21" s="9">
        <v>1200000</v>
      </c>
      <c r="J21" s="10">
        <f t="shared" si="1"/>
        <v>0.72825666666666666</v>
      </c>
    </row>
    <row r="22" spans="1:10">
      <c r="A22" s="7">
        <v>20</v>
      </c>
      <c r="B22" s="8" t="s">
        <v>37</v>
      </c>
      <c r="C22" s="7" t="s">
        <v>25</v>
      </c>
      <c r="D22" s="9">
        <v>72811</v>
      </c>
      <c r="E22" s="9">
        <v>106104</v>
      </c>
      <c r="F22" s="9">
        <v>124035</v>
      </c>
      <c r="G22" s="9"/>
      <c r="H22" s="9">
        <f t="shared" si="0"/>
        <v>302950</v>
      </c>
      <c r="I22" s="9">
        <v>295000</v>
      </c>
      <c r="J22" s="10">
        <f t="shared" si="1"/>
        <v>1.0269491525423728</v>
      </c>
    </row>
    <row r="23" spans="1:10">
      <c r="A23" s="7">
        <v>21</v>
      </c>
      <c r="B23" s="8" t="s">
        <v>38</v>
      </c>
      <c r="C23" s="7" t="s">
        <v>17</v>
      </c>
      <c r="D23" s="9">
        <v>87492</v>
      </c>
      <c r="E23" s="9">
        <v>122621</v>
      </c>
      <c r="F23" s="9">
        <v>125481</v>
      </c>
      <c r="G23" s="9"/>
      <c r="H23" s="9">
        <f t="shared" si="0"/>
        <v>335594</v>
      </c>
      <c r="I23" s="9">
        <v>450000</v>
      </c>
      <c r="J23" s="10">
        <f t="shared" si="1"/>
        <v>0.74576444444444445</v>
      </c>
    </row>
    <row r="24" spans="1:10">
      <c r="A24" s="7">
        <v>22</v>
      </c>
      <c r="B24" s="8" t="s">
        <v>39</v>
      </c>
      <c r="C24" s="7" t="s">
        <v>14</v>
      </c>
      <c r="D24" s="9">
        <v>139004</v>
      </c>
      <c r="E24" s="9">
        <v>150998</v>
      </c>
      <c r="F24" s="9">
        <v>156487</v>
      </c>
      <c r="G24" s="9"/>
      <c r="H24" s="9">
        <f t="shared" si="0"/>
        <v>446489</v>
      </c>
      <c r="I24" s="9">
        <v>670000</v>
      </c>
      <c r="J24" s="10">
        <f t="shared" si="1"/>
        <v>0.6664014925373134</v>
      </c>
    </row>
    <row r="25" spans="1:10">
      <c r="A25" s="7">
        <v>23</v>
      </c>
      <c r="B25" s="8" t="s">
        <v>40</v>
      </c>
      <c r="C25" s="7" t="s">
        <v>12</v>
      </c>
      <c r="D25" s="9">
        <v>310650</v>
      </c>
      <c r="E25" s="9">
        <v>401702</v>
      </c>
      <c r="F25" s="9">
        <v>375012</v>
      </c>
      <c r="G25" s="9"/>
      <c r="H25" s="9">
        <f t="shared" si="0"/>
        <v>1087364</v>
      </c>
      <c r="I25" s="9">
        <v>1300000</v>
      </c>
      <c r="J25" s="10">
        <f t="shared" si="1"/>
        <v>0.83643384615384619</v>
      </c>
    </row>
    <row r="26" spans="1:10">
      <c r="A26" s="7">
        <v>24</v>
      </c>
      <c r="B26" s="8" t="s">
        <v>41</v>
      </c>
      <c r="C26" s="7" t="s">
        <v>25</v>
      </c>
      <c r="D26" s="9">
        <v>91171</v>
      </c>
      <c r="E26" s="9">
        <v>83215</v>
      </c>
      <c r="F26" s="9">
        <v>78452</v>
      </c>
      <c r="G26" s="9"/>
      <c r="H26" s="9">
        <f t="shared" si="0"/>
        <v>252838</v>
      </c>
      <c r="I26" s="9">
        <v>260000</v>
      </c>
      <c r="J26" s="10">
        <f t="shared" si="1"/>
        <v>0.97245384615384611</v>
      </c>
    </row>
    <row r="27" spans="1:10">
      <c r="A27" s="7">
        <v>25</v>
      </c>
      <c r="B27" s="8" t="s">
        <v>42</v>
      </c>
      <c r="C27" s="7" t="s">
        <v>33</v>
      </c>
      <c r="D27" s="9">
        <v>404256</v>
      </c>
      <c r="E27" s="9">
        <v>366244</v>
      </c>
      <c r="F27" s="9">
        <v>288457</v>
      </c>
      <c r="G27" s="9"/>
      <c r="H27" s="9">
        <f t="shared" si="0"/>
        <v>1058957</v>
      </c>
      <c r="I27" s="9">
        <v>1400000</v>
      </c>
      <c r="J27" s="10">
        <f t="shared" si="1"/>
        <v>0.75639785714285712</v>
      </c>
    </row>
    <row r="28" spans="1:10">
      <c r="A28" s="7">
        <v>26</v>
      </c>
      <c r="B28" s="8" t="s">
        <v>43</v>
      </c>
      <c r="C28" s="7" t="s">
        <v>31</v>
      </c>
      <c r="D28" s="9">
        <v>95310</v>
      </c>
      <c r="E28" s="9">
        <v>113500</v>
      </c>
      <c r="F28" s="9">
        <v>96421</v>
      </c>
      <c r="G28" s="9"/>
      <c r="H28" s="9">
        <f t="shared" si="0"/>
        <v>305231</v>
      </c>
      <c r="I28" s="9">
        <v>510000</v>
      </c>
      <c r="J28" s="10">
        <f t="shared" si="1"/>
        <v>0.59849215686274515</v>
      </c>
    </row>
    <row r="29" spans="1:10">
      <c r="A29" s="7">
        <v>27</v>
      </c>
      <c r="B29" s="8" t="s">
        <v>44</v>
      </c>
      <c r="C29" s="7" t="s">
        <v>36</v>
      </c>
      <c r="D29" s="9">
        <v>260447</v>
      </c>
      <c r="E29" s="9">
        <v>288007</v>
      </c>
      <c r="F29" s="9">
        <v>254166</v>
      </c>
      <c r="G29" s="9"/>
      <c r="H29" s="9">
        <f t="shared" si="0"/>
        <v>802620</v>
      </c>
      <c r="I29" s="9">
        <v>1100000</v>
      </c>
      <c r="J29" s="10">
        <f t="shared" si="1"/>
        <v>0.72965454545454544</v>
      </c>
    </row>
    <row r="30" spans="1:10">
      <c r="A30" s="7">
        <v>28</v>
      </c>
      <c r="B30" s="8" t="s">
        <v>45</v>
      </c>
      <c r="C30" s="7" t="s">
        <v>14</v>
      </c>
      <c r="D30" s="9">
        <v>147201</v>
      </c>
      <c r="E30" s="9">
        <v>128303</v>
      </c>
      <c r="F30" s="9">
        <v>148752</v>
      </c>
      <c r="G30" s="9"/>
      <c r="H30" s="9">
        <f t="shared" si="0"/>
        <v>424256</v>
      </c>
      <c r="I30" s="9">
        <v>580000</v>
      </c>
      <c r="J30" s="10">
        <f t="shared" si="1"/>
        <v>0.73147586206896553</v>
      </c>
    </row>
    <row r="31" spans="1:10">
      <c r="A31" s="7">
        <v>29</v>
      </c>
      <c r="B31" s="8" t="s">
        <v>46</v>
      </c>
      <c r="C31" s="7" t="s">
        <v>12</v>
      </c>
      <c r="D31" s="9">
        <v>330501</v>
      </c>
      <c r="E31" s="9">
        <v>298000</v>
      </c>
      <c r="F31" s="9">
        <v>298451</v>
      </c>
      <c r="G31" s="9"/>
      <c r="H31" s="9">
        <f t="shared" si="0"/>
        <v>926952</v>
      </c>
      <c r="I31" s="9">
        <v>1250000</v>
      </c>
      <c r="J31" s="10">
        <f t="shared" si="1"/>
        <v>0.74156160000000004</v>
      </c>
    </row>
    <row r="32" spans="1:10">
      <c r="A32" s="7">
        <v>30</v>
      </c>
      <c r="B32" s="8" t="s">
        <v>47</v>
      </c>
      <c r="C32" s="7" t="s">
        <v>25</v>
      </c>
      <c r="D32" s="9">
        <v>83402</v>
      </c>
      <c r="E32" s="9">
        <v>92555</v>
      </c>
      <c r="F32" s="9">
        <v>98000</v>
      </c>
      <c r="G32" s="9"/>
      <c r="H32" s="9">
        <f t="shared" si="0"/>
        <v>273957</v>
      </c>
      <c r="I32" s="9">
        <v>300000</v>
      </c>
      <c r="J32" s="10">
        <f t="shared" si="1"/>
        <v>0.91318999999999995</v>
      </c>
    </row>
    <row r="33" spans="1:10">
      <c r="A33" s="7">
        <v>31</v>
      </c>
      <c r="B33" s="8" t="s">
        <v>48</v>
      </c>
      <c r="C33" s="7" t="s">
        <v>33</v>
      </c>
      <c r="D33" s="9">
        <v>390201</v>
      </c>
      <c r="E33" s="9">
        <v>342880</v>
      </c>
      <c r="F33" s="9">
        <v>142578</v>
      </c>
      <c r="G33" s="9"/>
      <c r="H33" s="9">
        <f t="shared" si="0"/>
        <v>875659</v>
      </c>
      <c r="I33" s="9">
        <v>1380000</v>
      </c>
      <c r="J33" s="10">
        <f t="shared" si="1"/>
        <v>0.63453550724637686</v>
      </c>
    </row>
    <row r="34" spans="1:10">
      <c r="A34" s="7">
        <v>32</v>
      </c>
      <c r="B34" s="8" t="s">
        <v>49</v>
      </c>
      <c r="C34" s="7" t="s">
        <v>14</v>
      </c>
      <c r="D34" s="9">
        <v>139105</v>
      </c>
      <c r="E34" s="9">
        <v>121530</v>
      </c>
      <c r="F34" s="9">
        <v>124578</v>
      </c>
      <c r="G34" s="9"/>
      <c r="H34" s="9">
        <f t="shared" si="0"/>
        <v>385213</v>
      </c>
      <c r="I34" s="9">
        <v>620000</v>
      </c>
      <c r="J34" s="10">
        <f t="shared" si="1"/>
        <v>0.6213112903225807</v>
      </c>
    </row>
    <row r="35" spans="1:10">
      <c r="A35" s="7">
        <v>33</v>
      </c>
      <c r="B35" s="8" t="s">
        <v>50</v>
      </c>
      <c r="C35" s="7" t="s">
        <v>17</v>
      </c>
      <c r="D35" s="9">
        <v>102313</v>
      </c>
      <c r="E35" s="9">
        <v>129410</v>
      </c>
      <c r="F35" s="9">
        <v>143586</v>
      </c>
      <c r="G35" s="9"/>
      <c r="H35" s="9">
        <f t="shared" si="0"/>
        <v>375309</v>
      </c>
      <c r="I35" s="9">
        <v>420000</v>
      </c>
      <c r="J35" s="10">
        <f t="shared" si="1"/>
        <v>0.89359285714285719</v>
      </c>
    </row>
    <row r="36" spans="1:10">
      <c r="A36" s="7">
        <v>34</v>
      </c>
      <c r="B36" s="8" t="s">
        <v>51</v>
      </c>
      <c r="C36" s="7" t="s">
        <v>31</v>
      </c>
      <c r="D36" s="9">
        <v>120731</v>
      </c>
      <c r="E36" s="9">
        <v>137200</v>
      </c>
      <c r="F36" s="9">
        <v>142789</v>
      </c>
      <c r="G36" s="9"/>
      <c r="H36" s="9">
        <f t="shared" si="0"/>
        <v>400720</v>
      </c>
      <c r="I36" s="9">
        <v>540000</v>
      </c>
      <c r="J36" s="10">
        <f t="shared" si="1"/>
        <v>0.74207407407407411</v>
      </c>
    </row>
    <row r="37" spans="1:10">
      <c r="A37" s="7">
        <v>35</v>
      </c>
      <c r="B37" s="8" t="s">
        <v>52</v>
      </c>
      <c r="C37" s="7" t="s">
        <v>36</v>
      </c>
      <c r="D37" s="9">
        <v>300017</v>
      </c>
      <c r="E37" s="9">
        <v>341702</v>
      </c>
      <c r="F37" s="9">
        <v>124857</v>
      </c>
      <c r="G37" s="9"/>
      <c r="H37" s="9">
        <f t="shared" si="0"/>
        <v>766576</v>
      </c>
      <c r="I37" s="9">
        <v>1250000</v>
      </c>
      <c r="J37" s="10">
        <f t="shared" si="1"/>
        <v>0.61326080000000005</v>
      </c>
    </row>
  </sheetData>
  <sheetProtection algorithmName="SHA-512" hashValue="4GG4b/XWG0Ykh9tCMPoHCtaTzveM0uqA5paIPLTJYEBWbsLA08jLBQ837uBtQxICLE3geHHzkR4Y7MzYHxP9VA==" saltValue="bb+EuxMG7HHB2VZ4CYi13w==" spinCount="100000" sheet="1" objects="1" scenarios="1"/>
  <mergeCells count="1">
    <mergeCell ref="A1:L1"/>
  </mergeCells>
  <conditionalFormatting sqref="D1:D1048576">
    <cfRule type="cellIs" dxfId="17" priority="5" operator="lessThan">
      <formula>100000</formula>
    </cfRule>
  </conditionalFormatting>
  <conditionalFormatting sqref="H1:H1048576">
    <cfRule type="top10" dxfId="16" priority="2" rank="5"/>
  </conditionalFormatting>
  <conditionalFormatting sqref="J1:J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DB8E8-3826-4F74-B9A9-F590B5691CB4}">
  <dimension ref="A1:L37"/>
  <sheetViews>
    <sheetView workbookViewId="0"/>
  </sheetViews>
  <sheetFormatPr defaultRowHeight="15"/>
  <cols>
    <col min="1" max="1" width="7.7109375" bestFit="1" customWidth="1"/>
    <col min="2" max="2" width="16.42578125" bestFit="1" customWidth="1"/>
    <col min="3" max="3" width="20.7109375" bestFit="1" customWidth="1"/>
    <col min="4" max="7" width="12.7109375" bestFit="1" customWidth="1"/>
    <col min="8" max="8" width="13.85546875" bestFit="1" customWidth="1"/>
    <col min="9" max="9" width="15.140625" bestFit="1" customWidth="1"/>
    <col min="10" max="10" width="11.42578125" bestFit="1" customWidth="1"/>
    <col min="11" max="11" width="10.140625" bestFit="1" customWidth="1"/>
  </cols>
  <sheetData>
    <row r="1" spans="1:12" ht="30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24.75" customHeight="1">
      <c r="A2" s="11" t="s">
        <v>53</v>
      </c>
      <c r="B2" s="11" t="s">
        <v>54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55</v>
      </c>
      <c r="J2" s="11" t="s">
        <v>56</v>
      </c>
      <c r="K2" s="11" t="s">
        <v>57</v>
      </c>
    </row>
    <row r="3" spans="1:12">
      <c r="A3" s="7">
        <v>1</v>
      </c>
      <c r="B3" s="8" t="s">
        <v>11</v>
      </c>
      <c r="C3" s="7" t="s">
        <v>12</v>
      </c>
      <c r="D3" s="9">
        <v>233425</v>
      </c>
      <c r="E3" s="9">
        <v>102450</v>
      </c>
      <c r="F3" s="9">
        <v>105218</v>
      </c>
      <c r="G3" s="9">
        <v>150763</v>
      </c>
      <c r="H3" s="9">
        <f>SUM(D3:G3)</f>
        <v>591856</v>
      </c>
      <c r="I3" s="9">
        <v>950000</v>
      </c>
      <c r="J3" s="10">
        <f>H3/I3</f>
        <v>0.62300631578947363</v>
      </c>
      <c r="K3" t="s">
        <v>58</v>
      </c>
    </row>
    <row r="4" spans="1:12">
      <c r="A4" s="7">
        <v>2</v>
      </c>
      <c r="B4" s="8" t="s">
        <v>13</v>
      </c>
      <c r="C4" s="7" t="s">
        <v>14</v>
      </c>
      <c r="D4" s="9">
        <v>132109</v>
      </c>
      <c r="E4" s="9">
        <v>45782</v>
      </c>
      <c r="F4" s="9">
        <v>217000</v>
      </c>
      <c r="G4" s="9">
        <v>217152</v>
      </c>
      <c r="H4" s="9">
        <f t="shared" ref="H4:H37" si="0">SUM(D4:G4)</f>
        <v>612043</v>
      </c>
      <c r="I4" s="9">
        <v>620000</v>
      </c>
      <c r="J4" s="10">
        <f t="shared" ref="J4:J37" si="1">H4/I4</f>
        <v>0.98716612903225809</v>
      </c>
      <c r="K4" t="s">
        <v>59</v>
      </c>
    </row>
    <row r="5" spans="1:12">
      <c r="A5" s="7">
        <v>3</v>
      </c>
      <c r="B5" s="8" t="s">
        <v>15</v>
      </c>
      <c r="C5" s="7" t="s">
        <v>12</v>
      </c>
      <c r="D5" s="9">
        <v>319862</v>
      </c>
      <c r="E5" s="9">
        <v>142578</v>
      </c>
      <c r="F5" s="9">
        <v>157423</v>
      </c>
      <c r="G5" s="9">
        <v>226146</v>
      </c>
      <c r="H5" s="9">
        <f t="shared" si="0"/>
        <v>846009</v>
      </c>
      <c r="I5" s="9">
        <v>1050000</v>
      </c>
      <c r="J5" s="10">
        <f t="shared" si="1"/>
        <v>0.80572285714285719</v>
      </c>
      <c r="K5" t="s">
        <v>60</v>
      </c>
    </row>
    <row r="6" spans="1:12">
      <c r="A6" s="7">
        <v>4</v>
      </c>
      <c r="B6" s="8" t="s">
        <v>16</v>
      </c>
      <c r="C6" s="7" t="s">
        <v>17</v>
      </c>
      <c r="D6" s="9">
        <v>91986</v>
      </c>
      <c r="E6" s="9">
        <v>105782</v>
      </c>
      <c r="F6" s="9">
        <v>105471</v>
      </c>
      <c r="G6" s="9">
        <v>97631</v>
      </c>
      <c r="H6" s="9">
        <f t="shared" si="0"/>
        <v>400870</v>
      </c>
      <c r="I6" s="9">
        <v>410000</v>
      </c>
      <c r="J6" s="10">
        <f t="shared" si="1"/>
        <v>0.97773170731707315</v>
      </c>
      <c r="K6" t="s">
        <v>59</v>
      </c>
    </row>
    <row r="7" spans="1:12">
      <c r="A7" s="7">
        <v>5</v>
      </c>
      <c r="B7" s="8" t="s">
        <v>18</v>
      </c>
      <c r="C7" s="7" t="s">
        <v>17</v>
      </c>
      <c r="D7" s="9">
        <v>134296</v>
      </c>
      <c r="E7" s="9">
        <v>68452</v>
      </c>
      <c r="F7" s="9">
        <v>118423</v>
      </c>
      <c r="G7" s="9">
        <v>112954</v>
      </c>
      <c r="H7" s="9">
        <f t="shared" si="0"/>
        <v>434125</v>
      </c>
      <c r="I7" s="9">
        <v>450000</v>
      </c>
      <c r="J7" s="10">
        <f t="shared" si="1"/>
        <v>0.96472222222222226</v>
      </c>
      <c r="K7" t="s">
        <v>59</v>
      </c>
    </row>
    <row r="8" spans="1:12">
      <c r="A8" s="7">
        <v>6</v>
      </c>
      <c r="B8" s="8" t="s">
        <v>19</v>
      </c>
      <c r="C8" s="7" t="s">
        <v>12</v>
      </c>
      <c r="D8" s="9">
        <v>254540</v>
      </c>
      <c r="E8" s="9">
        <v>45879</v>
      </c>
      <c r="F8" s="9">
        <v>283412</v>
      </c>
      <c r="G8" s="9">
        <v>272432</v>
      </c>
      <c r="H8" s="9">
        <f t="shared" si="0"/>
        <v>856263</v>
      </c>
      <c r="I8" s="9">
        <v>1100000</v>
      </c>
      <c r="J8" s="10">
        <f t="shared" si="1"/>
        <v>0.77842090909090911</v>
      </c>
      <c r="K8" t="s">
        <v>61</v>
      </c>
    </row>
    <row r="9" spans="1:12">
      <c r="A9" s="7">
        <v>7</v>
      </c>
      <c r="B9" s="8" t="s">
        <v>20</v>
      </c>
      <c r="C9" s="7" t="s">
        <v>12</v>
      </c>
      <c r="D9" s="9">
        <v>176807</v>
      </c>
      <c r="E9" s="9">
        <v>14578</v>
      </c>
      <c r="F9" s="9">
        <v>285046</v>
      </c>
      <c r="G9" s="9">
        <v>302156</v>
      </c>
      <c r="H9" s="9">
        <f t="shared" si="0"/>
        <v>778587</v>
      </c>
      <c r="I9" s="9">
        <v>1200000</v>
      </c>
      <c r="J9" s="10">
        <f t="shared" si="1"/>
        <v>0.64882249999999997</v>
      </c>
      <c r="K9" t="s">
        <v>58</v>
      </c>
    </row>
    <row r="10" spans="1:12">
      <c r="A10" s="7">
        <v>8</v>
      </c>
      <c r="B10" s="8" t="s">
        <v>21</v>
      </c>
      <c r="C10" s="7" t="s">
        <v>17</v>
      </c>
      <c r="D10" s="9">
        <v>115399</v>
      </c>
      <c r="E10" s="9">
        <v>45201</v>
      </c>
      <c r="F10" s="9">
        <v>112035</v>
      </c>
      <c r="G10" s="9">
        <v>98501</v>
      </c>
      <c r="H10" s="9">
        <f t="shared" si="0"/>
        <v>371136</v>
      </c>
      <c r="I10" s="9">
        <v>380000</v>
      </c>
      <c r="J10" s="10">
        <f t="shared" si="1"/>
        <v>0.97667368421052636</v>
      </c>
      <c r="K10" t="s">
        <v>59</v>
      </c>
    </row>
    <row r="11" spans="1:12">
      <c r="A11" s="7">
        <v>9</v>
      </c>
      <c r="B11" s="8" t="s">
        <v>22</v>
      </c>
      <c r="C11" s="7" t="s">
        <v>12</v>
      </c>
      <c r="D11" s="9">
        <v>243592</v>
      </c>
      <c r="E11" s="9">
        <v>45781</v>
      </c>
      <c r="F11" s="9">
        <v>101485</v>
      </c>
      <c r="G11" s="9">
        <v>136303</v>
      </c>
      <c r="H11" s="9">
        <f t="shared" si="0"/>
        <v>527161</v>
      </c>
      <c r="I11" s="9">
        <v>900000</v>
      </c>
      <c r="J11" s="10">
        <f t="shared" si="1"/>
        <v>0.58573444444444445</v>
      </c>
      <c r="K11" t="s">
        <v>62</v>
      </c>
    </row>
    <row r="12" spans="1:12">
      <c r="A12" s="7">
        <v>10</v>
      </c>
      <c r="B12" s="8" t="s">
        <v>23</v>
      </c>
      <c r="C12" s="7" t="s">
        <v>14</v>
      </c>
      <c r="D12" s="9">
        <v>124889</v>
      </c>
      <c r="E12" s="9">
        <v>24587</v>
      </c>
      <c r="F12" s="9">
        <v>145326</v>
      </c>
      <c r="G12" s="9">
        <v>100171</v>
      </c>
      <c r="H12" s="9">
        <f t="shared" si="0"/>
        <v>394973</v>
      </c>
      <c r="I12" s="9">
        <v>590000</v>
      </c>
      <c r="J12" s="10">
        <f t="shared" si="1"/>
        <v>0.6694457627118644</v>
      </c>
      <c r="K12" t="s">
        <v>58</v>
      </c>
    </row>
    <row r="13" spans="1:12">
      <c r="A13" s="7">
        <v>11</v>
      </c>
      <c r="B13" s="8" t="s">
        <v>24</v>
      </c>
      <c r="C13" s="7" t="s">
        <v>25</v>
      </c>
      <c r="D13" s="9">
        <v>104943</v>
      </c>
      <c r="E13" s="9">
        <v>23015</v>
      </c>
      <c r="F13" s="9">
        <v>88421</v>
      </c>
      <c r="G13" s="9">
        <v>74903</v>
      </c>
      <c r="H13" s="9">
        <f t="shared" si="0"/>
        <v>291282</v>
      </c>
      <c r="I13" s="9">
        <v>310000</v>
      </c>
      <c r="J13" s="10">
        <f t="shared" si="1"/>
        <v>0.93961935483870973</v>
      </c>
      <c r="K13" t="s">
        <v>59</v>
      </c>
    </row>
    <row r="14" spans="1:12">
      <c r="A14" s="7">
        <v>12</v>
      </c>
      <c r="B14" s="8" t="s">
        <v>26</v>
      </c>
      <c r="C14" s="7" t="s">
        <v>25</v>
      </c>
      <c r="D14" s="9">
        <v>53211</v>
      </c>
      <c r="E14" s="9">
        <v>8745</v>
      </c>
      <c r="F14" s="9">
        <v>124504</v>
      </c>
      <c r="G14" s="9">
        <v>93319</v>
      </c>
      <c r="H14" s="9">
        <f t="shared" si="0"/>
        <v>279779</v>
      </c>
      <c r="I14" s="9">
        <v>280000</v>
      </c>
      <c r="J14" s="10">
        <f t="shared" si="1"/>
        <v>0.99921071428571429</v>
      </c>
      <c r="K14" t="s">
        <v>59</v>
      </c>
    </row>
    <row r="15" spans="1:12">
      <c r="A15" s="7">
        <v>13</v>
      </c>
      <c r="B15" s="8" t="s">
        <v>27</v>
      </c>
      <c r="C15" s="7" t="s">
        <v>12</v>
      </c>
      <c r="D15" s="9">
        <v>309802</v>
      </c>
      <c r="E15" s="9">
        <v>124578</v>
      </c>
      <c r="F15" s="9">
        <v>298412</v>
      </c>
      <c r="G15" s="9">
        <v>382110</v>
      </c>
      <c r="H15" s="9">
        <f t="shared" si="0"/>
        <v>1114902</v>
      </c>
      <c r="I15" s="9">
        <v>1150000</v>
      </c>
      <c r="J15" s="10">
        <f t="shared" si="1"/>
        <v>0.96948000000000001</v>
      </c>
      <c r="K15" t="s">
        <v>59</v>
      </c>
    </row>
    <row r="16" spans="1:12">
      <c r="A16" s="7">
        <v>14</v>
      </c>
      <c r="B16" s="8" t="s">
        <v>28</v>
      </c>
      <c r="C16" s="7" t="s">
        <v>14</v>
      </c>
      <c r="D16" s="9">
        <v>143767</v>
      </c>
      <c r="E16" s="9">
        <v>145203</v>
      </c>
      <c r="F16" s="9">
        <v>133254</v>
      </c>
      <c r="G16" s="9">
        <v>149117</v>
      </c>
      <c r="H16" s="9">
        <f t="shared" si="0"/>
        <v>571341</v>
      </c>
      <c r="I16" s="9">
        <v>660000</v>
      </c>
      <c r="J16" s="10">
        <f t="shared" si="1"/>
        <v>0.86566818181818184</v>
      </c>
      <c r="K16" t="s">
        <v>60</v>
      </c>
    </row>
    <row r="17" spans="1:11">
      <c r="A17" s="7">
        <v>15</v>
      </c>
      <c r="B17" s="8" t="s">
        <v>29</v>
      </c>
      <c r="C17" s="7" t="s">
        <v>14</v>
      </c>
      <c r="D17" s="9">
        <v>126141</v>
      </c>
      <c r="E17" s="9">
        <v>95784</v>
      </c>
      <c r="F17" s="9">
        <v>148652</v>
      </c>
      <c r="G17" s="9">
        <v>129873</v>
      </c>
      <c r="H17" s="9">
        <f t="shared" si="0"/>
        <v>500450</v>
      </c>
      <c r="I17" s="9">
        <v>640000</v>
      </c>
      <c r="J17" s="10">
        <f t="shared" si="1"/>
        <v>0.78195312500000003</v>
      </c>
      <c r="K17" t="s">
        <v>61</v>
      </c>
    </row>
    <row r="18" spans="1:11">
      <c r="A18" s="7">
        <v>16</v>
      </c>
      <c r="B18" s="8" t="s">
        <v>30</v>
      </c>
      <c r="C18" s="7" t="s">
        <v>31</v>
      </c>
      <c r="D18" s="9">
        <v>118654</v>
      </c>
      <c r="E18" s="9">
        <v>88452</v>
      </c>
      <c r="F18" s="9">
        <v>135478</v>
      </c>
      <c r="G18" s="9">
        <v>143214</v>
      </c>
      <c r="H18" s="9">
        <f t="shared" si="0"/>
        <v>485798</v>
      </c>
      <c r="I18" s="9">
        <v>500000</v>
      </c>
      <c r="J18" s="10">
        <f t="shared" si="1"/>
        <v>0.97159600000000002</v>
      </c>
      <c r="K18" t="s">
        <v>59</v>
      </c>
    </row>
    <row r="19" spans="1:11">
      <c r="A19" s="7">
        <v>17</v>
      </c>
      <c r="B19" s="8" t="s">
        <v>32</v>
      </c>
      <c r="C19" s="7" t="s">
        <v>33</v>
      </c>
      <c r="D19" s="9">
        <v>370455</v>
      </c>
      <c r="E19" s="9">
        <v>145872</v>
      </c>
      <c r="F19" s="9">
        <v>284512</v>
      </c>
      <c r="G19" s="9">
        <v>420100</v>
      </c>
      <c r="H19" s="9">
        <f t="shared" si="0"/>
        <v>1220939</v>
      </c>
      <c r="I19" s="9">
        <v>1350000</v>
      </c>
      <c r="J19" s="10">
        <f t="shared" si="1"/>
        <v>0.90439925925925924</v>
      </c>
      <c r="K19" t="s">
        <v>59</v>
      </c>
    </row>
    <row r="20" spans="1:11">
      <c r="A20" s="7">
        <v>18</v>
      </c>
      <c r="B20" s="8" t="s">
        <v>34</v>
      </c>
      <c r="C20" s="7" t="s">
        <v>14</v>
      </c>
      <c r="D20" s="9">
        <v>110998</v>
      </c>
      <c r="E20" s="9">
        <v>254134</v>
      </c>
      <c r="F20" s="9">
        <v>124598</v>
      </c>
      <c r="G20" s="9">
        <v>130443</v>
      </c>
      <c r="H20" s="9">
        <f t="shared" si="0"/>
        <v>620173</v>
      </c>
      <c r="I20" s="9">
        <v>610000</v>
      </c>
      <c r="J20" s="10">
        <f t="shared" si="1"/>
        <v>1.0166770491803279</v>
      </c>
      <c r="K20" t="s">
        <v>63</v>
      </c>
    </row>
    <row r="21" spans="1:11">
      <c r="A21" s="7">
        <v>19</v>
      </c>
      <c r="B21" s="8" t="s">
        <v>35</v>
      </c>
      <c r="C21" s="7" t="s">
        <v>36</v>
      </c>
      <c r="D21" s="9">
        <v>260113</v>
      </c>
      <c r="E21" s="9">
        <v>154287</v>
      </c>
      <c r="F21" s="9">
        <v>298514</v>
      </c>
      <c r="G21" s="9">
        <v>315281</v>
      </c>
      <c r="H21" s="9">
        <f t="shared" si="0"/>
        <v>1028195</v>
      </c>
      <c r="I21" s="9">
        <v>1200000</v>
      </c>
      <c r="J21" s="10">
        <f t="shared" si="1"/>
        <v>0.85682916666666664</v>
      </c>
      <c r="K21" t="s">
        <v>60</v>
      </c>
    </row>
    <row r="22" spans="1:11">
      <c r="A22" s="7">
        <v>20</v>
      </c>
      <c r="B22" s="8" t="s">
        <v>37</v>
      </c>
      <c r="C22" s="7" t="s">
        <v>25</v>
      </c>
      <c r="D22" s="9">
        <v>72811</v>
      </c>
      <c r="E22" s="9">
        <v>45127</v>
      </c>
      <c r="F22" s="9">
        <v>124035</v>
      </c>
      <c r="G22" s="9">
        <v>106104</v>
      </c>
      <c r="H22" s="9">
        <f t="shared" si="0"/>
        <v>348077</v>
      </c>
      <c r="I22" s="9">
        <v>395000</v>
      </c>
      <c r="J22" s="10">
        <f t="shared" si="1"/>
        <v>0.88120759493670886</v>
      </c>
      <c r="K22" t="s">
        <v>60</v>
      </c>
    </row>
    <row r="23" spans="1:11">
      <c r="A23" s="7">
        <v>21</v>
      </c>
      <c r="B23" s="8" t="s">
        <v>38</v>
      </c>
      <c r="C23" s="7" t="s">
        <v>17</v>
      </c>
      <c r="D23" s="9">
        <v>87492</v>
      </c>
      <c r="E23" s="9">
        <v>125478</v>
      </c>
      <c r="F23" s="9">
        <v>125481</v>
      </c>
      <c r="G23" s="9">
        <v>122621</v>
      </c>
      <c r="H23" s="9">
        <f t="shared" si="0"/>
        <v>461072</v>
      </c>
      <c r="I23" s="9">
        <v>450000</v>
      </c>
      <c r="J23" s="10">
        <f t="shared" si="1"/>
        <v>1.0246044444444444</v>
      </c>
      <c r="K23" t="s">
        <v>63</v>
      </c>
    </row>
    <row r="24" spans="1:11">
      <c r="A24" s="7">
        <v>22</v>
      </c>
      <c r="B24" s="8" t="s">
        <v>39</v>
      </c>
      <c r="C24" s="7" t="s">
        <v>14</v>
      </c>
      <c r="D24" s="9">
        <v>139004</v>
      </c>
      <c r="E24" s="9">
        <v>124578</v>
      </c>
      <c r="F24" s="9">
        <v>156487</v>
      </c>
      <c r="G24" s="9">
        <v>150998</v>
      </c>
      <c r="H24" s="9">
        <f t="shared" si="0"/>
        <v>571067</v>
      </c>
      <c r="I24" s="9">
        <v>670000</v>
      </c>
      <c r="J24" s="10">
        <f t="shared" si="1"/>
        <v>0.85233880597014922</v>
      </c>
      <c r="K24" t="s">
        <v>60</v>
      </c>
    </row>
    <row r="25" spans="1:11">
      <c r="A25" s="7">
        <v>23</v>
      </c>
      <c r="B25" s="8" t="s">
        <v>40</v>
      </c>
      <c r="C25" s="7" t="s">
        <v>12</v>
      </c>
      <c r="D25" s="9">
        <v>310650</v>
      </c>
      <c r="E25" s="9">
        <v>124578</v>
      </c>
      <c r="F25" s="9">
        <v>375012</v>
      </c>
      <c r="G25" s="9">
        <v>401702</v>
      </c>
      <c r="H25" s="9">
        <f t="shared" si="0"/>
        <v>1211942</v>
      </c>
      <c r="I25" s="9">
        <v>1300000</v>
      </c>
      <c r="J25" s="10">
        <f t="shared" si="1"/>
        <v>0.93226307692307697</v>
      </c>
      <c r="K25" t="s">
        <v>59</v>
      </c>
    </row>
    <row r="26" spans="1:11">
      <c r="A26" s="7">
        <v>24</v>
      </c>
      <c r="B26" s="8" t="s">
        <v>41</v>
      </c>
      <c r="C26" s="7" t="s">
        <v>25</v>
      </c>
      <c r="D26" s="9">
        <v>91171</v>
      </c>
      <c r="E26" s="9">
        <v>12103</v>
      </c>
      <c r="F26" s="9">
        <v>68124</v>
      </c>
      <c r="G26" s="9">
        <v>83215</v>
      </c>
      <c r="H26" s="9">
        <f t="shared" si="0"/>
        <v>254613</v>
      </c>
      <c r="I26" s="9">
        <v>260000</v>
      </c>
      <c r="J26" s="10">
        <f t="shared" si="1"/>
        <v>0.97928076923076923</v>
      </c>
      <c r="K26" t="s">
        <v>59</v>
      </c>
    </row>
    <row r="27" spans="1:11">
      <c r="A27" s="7">
        <v>25</v>
      </c>
      <c r="B27" s="8" t="s">
        <v>42</v>
      </c>
      <c r="C27" s="7" t="s">
        <v>33</v>
      </c>
      <c r="D27" s="9">
        <v>404256</v>
      </c>
      <c r="E27" s="9">
        <v>121405</v>
      </c>
      <c r="F27" s="9">
        <v>288457</v>
      </c>
      <c r="G27" s="9">
        <v>366244</v>
      </c>
      <c r="H27" s="9">
        <f t="shared" si="0"/>
        <v>1180362</v>
      </c>
      <c r="I27" s="9">
        <v>1400000</v>
      </c>
      <c r="J27" s="10">
        <f t="shared" si="1"/>
        <v>0.8431157142857143</v>
      </c>
      <c r="K27" t="s">
        <v>60</v>
      </c>
    </row>
    <row r="28" spans="1:11">
      <c r="A28" s="7">
        <v>26</v>
      </c>
      <c r="B28" s="8" t="s">
        <v>43</v>
      </c>
      <c r="C28" s="7" t="s">
        <v>31</v>
      </c>
      <c r="D28" s="9">
        <v>95310</v>
      </c>
      <c r="E28" s="9">
        <v>124578</v>
      </c>
      <c r="F28" s="9">
        <v>96421</v>
      </c>
      <c r="G28" s="9">
        <v>113500</v>
      </c>
      <c r="H28" s="9">
        <f t="shared" si="0"/>
        <v>429809</v>
      </c>
      <c r="I28" s="9">
        <v>510000</v>
      </c>
      <c r="J28" s="10">
        <f t="shared" si="1"/>
        <v>0.84276274509803917</v>
      </c>
      <c r="K28" t="s">
        <v>60</v>
      </c>
    </row>
    <row r="29" spans="1:11">
      <c r="A29" s="7">
        <v>27</v>
      </c>
      <c r="B29" s="8" t="s">
        <v>44</v>
      </c>
      <c r="C29" s="7" t="s">
        <v>36</v>
      </c>
      <c r="D29" s="9">
        <v>260447</v>
      </c>
      <c r="E29" s="9">
        <v>89452</v>
      </c>
      <c r="F29" s="9">
        <v>254166</v>
      </c>
      <c r="G29" s="9">
        <v>288007</v>
      </c>
      <c r="H29" s="9">
        <f t="shared" si="0"/>
        <v>892072</v>
      </c>
      <c r="I29" s="9">
        <v>1100000</v>
      </c>
      <c r="J29" s="10">
        <f t="shared" si="1"/>
        <v>0.8109745454545455</v>
      </c>
      <c r="K29" t="s">
        <v>60</v>
      </c>
    </row>
    <row r="30" spans="1:11">
      <c r="A30" s="7">
        <v>28</v>
      </c>
      <c r="B30" s="8" t="s">
        <v>45</v>
      </c>
      <c r="C30" s="7" t="s">
        <v>14</v>
      </c>
      <c r="D30" s="9">
        <v>147201</v>
      </c>
      <c r="E30" s="9">
        <v>135426</v>
      </c>
      <c r="F30" s="9">
        <v>148752</v>
      </c>
      <c r="G30" s="9">
        <v>128303</v>
      </c>
      <c r="H30" s="9">
        <f t="shared" si="0"/>
        <v>559682</v>
      </c>
      <c r="I30" s="9">
        <v>580000</v>
      </c>
      <c r="J30" s="10">
        <f t="shared" si="1"/>
        <v>0.96496896551724143</v>
      </c>
      <c r="K30" t="s">
        <v>59</v>
      </c>
    </row>
    <row r="31" spans="1:11">
      <c r="A31" s="7">
        <v>29</v>
      </c>
      <c r="B31" s="8" t="s">
        <v>46</v>
      </c>
      <c r="C31" s="7" t="s">
        <v>12</v>
      </c>
      <c r="D31" s="9">
        <v>330501</v>
      </c>
      <c r="E31" s="9">
        <v>45678</v>
      </c>
      <c r="F31" s="9">
        <v>298451</v>
      </c>
      <c r="G31" s="9">
        <v>298000</v>
      </c>
      <c r="H31" s="9">
        <f t="shared" si="0"/>
        <v>972630</v>
      </c>
      <c r="I31" s="9">
        <v>1250000</v>
      </c>
      <c r="J31" s="10">
        <f t="shared" si="1"/>
        <v>0.77810400000000002</v>
      </c>
      <c r="K31" t="s">
        <v>61</v>
      </c>
    </row>
    <row r="32" spans="1:11">
      <c r="A32" s="7">
        <v>30</v>
      </c>
      <c r="B32" s="8" t="s">
        <v>47</v>
      </c>
      <c r="C32" s="7" t="s">
        <v>25</v>
      </c>
      <c r="D32" s="9">
        <v>83402</v>
      </c>
      <c r="E32" s="9">
        <v>5214</v>
      </c>
      <c r="F32" s="9">
        <v>98000</v>
      </c>
      <c r="G32" s="9">
        <v>92555</v>
      </c>
      <c r="H32" s="9">
        <f t="shared" si="0"/>
        <v>279171</v>
      </c>
      <c r="I32" s="9">
        <v>300000</v>
      </c>
      <c r="J32" s="10">
        <f t="shared" si="1"/>
        <v>0.93057000000000001</v>
      </c>
      <c r="K32" t="s">
        <v>59</v>
      </c>
    </row>
    <row r="33" spans="1:11">
      <c r="A33" s="7">
        <v>31</v>
      </c>
      <c r="B33" s="8" t="s">
        <v>48</v>
      </c>
      <c r="C33" s="7" t="s">
        <v>33</v>
      </c>
      <c r="D33" s="9">
        <v>390201</v>
      </c>
      <c r="E33" s="9">
        <v>102457</v>
      </c>
      <c r="F33" s="9">
        <v>142578</v>
      </c>
      <c r="G33" s="9">
        <v>342880</v>
      </c>
      <c r="H33" s="9">
        <f t="shared" si="0"/>
        <v>978116</v>
      </c>
      <c r="I33" s="9">
        <v>1380000</v>
      </c>
      <c r="J33" s="10">
        <f t="shared" si="1"/>
        <v>0.70877971014492758</v>
      </c>
      <c r="K33" t="s">
        <v>61</v>
      </c>
    </row>
    <row r="34" spans="1:11">
      <c r="A34" s="7">
        <v>32</v>
      </c>
      <c r="B34" s="8" t="s">
        <v>49</v>
      </c>
      <c r="C34" s="7" t="s">
        <v>14</v>
      </c>
      <c r="D34" s="9">
        <v>139105</v>
      </c>
      <c r="E34" s="9">
        <v>102456</v>
      </c>
      <c r="F34" s="9">
        <v>124578</v>
      </c>
      <c r="G34" s="9">
        <v>121530</v>
      </c>
      <c r="H34" s="9">
        <f t="shared" si="0"/>
        <v>487669</v>
      </c>
      <c r="I34" s="9">
        <v>620000</v>
      </c>
      <c r="J34" s="10">
        <f t="shared" si="1"/>
        <v>0.78656290322580646</v>
      </c>
      <c r="K34" t="s">
        <v>61</v>
      </c>
    </row>
    <row r="35" spans="1:11">
      <c r="A35" s="7">
        <v>33</v>
      </c>
      <c r="B35" s="8" t="s">
        <v>50</v>
      </c>
      <c r="C35" s="7" t="s">
        <v>17</v>
      </c>
      <c r="D35" s="9">
        <v>102313</v>
      </c>
      <c r="E35" s="9">
        <v>145786</v>
      </c>
      <c r="F35" s="9">
        <v>143586</v>
      </c>
      <c r="G35" s="9">
        <v>129410</v>
      </c>
      <c r="H35" s="9">
        <f t="shared" si="0"/>
        <v>521095</v>
      </c>
      <c r="I35" s="9">
        <v>420000</v>
      </c>
      <c r="J35" s="10">
        <f t="shared" si="1"/>
        <v>1.2407023809523809</v>
      </c>
      <c r="K35" t="s">
        <v>63</v>
      </c>
    </row>
    <row r="36" spans="1:11">
      <c r="A36" s="7">
        <v>34</v>
      </c>
      <c r="B36" s="8" t="s">
        <v>51</v>
      </c>
      <c r="C36" s="7" t="s">
        <v>31</v>
      </c>
      <c r="D36" s="9">
        <v>120731</v>
      </c>
      <c r="E36" s="9">
        <v>102458</v>
      </c>
      <c r="F36" s="9">
        <v>142789</v>
      </c>
      <c r="G36" s="9">
        <v>137200</v>
      </c>
      <c r="H36" s="9">
        <f t="shared" si="0"/>
        <v>503178</v>
      </c>
      <c r="I36" s="9">
        <v>540000</v>
      </c>
      <c r="J36" s="10">
        <f t="shared" si="1"/>
        <v>0.93181111111111115</v>
      </c>
      <c r="K36" t="s">
        <v>59</v>
      </c>
    </row>
    <row r="37" spans="1:11">
      <c r="A37" s="7">
        <v>35</v>
      </c>
      <c r="B37" s="8" t="s">
        <v>52</v>
      </c>
      <c r="C37" s="7" t="s">
        <v>36</v>
      </c>
      <c r="D37" s="9">
        <v>300017</v>
      </c>
      <c r="E37" s="9">
        <v>98412</v>
      </c>
      <c r="F37" s="9">
        <v>124857</v>
      </c>
      <c r="G37" s="9">
        <v>341702</v>
      </c>
      <c r="H37" s="9">
        <f t="shared" si="0"/>
        <v>864988</v>
      </c>
      <c r="I37" s="9">
        <v>1250000</v>
      </c>
      <c r="J37" s="10">
        <f t="shared" si="1"/>
        <v>0.69199040000000001</v>
      </c>
      <c r="K37" t="s">
        <v>58</v>
      </c>
    </row>
  </sheetData>
  <sheetProtection algorithmName="SHA-512" hashValue="qENPJK/yHbKuLdsceRIxPF5zV2TaRAoxBHnG16wZWX90pQYNcjcws6A99KZld2CdnYD0Zmq7NX3cfWgbQ5TpMA==" saltValue="3BYD3KCtzNo/6RE1VsCQwg==" spinCount="100000" sheet="1" objects="1" scenarios="1"/>
  <mergeCells count="1">
    <mergeCell ref="A1:L1"/>
  </mergeCells>
  <conditionalFormatting sqref="D3:D37">
    <cfRule type="cellIs" dxfId="3" priority="6" operator="lessThan">
      <formula>100000</formula>
    </cfRule>
  </conditionalFormatting>
  <conditionalFormatting sqref="H3:H37">
    <cfRule type="top10" dxfId="2" priority="5" rank="5"/>
  </conditionalFormatting>
  <conditionalFormatting sqref="J3:J3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">
    <cfRule type="cellIs" dxfId="1" priority="3" operator="lessThan">
      <formula>100000</formula>
    </cfRule>
  </conditionalFormatting>
  <conditionalFormatting sqref="H1">
    <cfRule type="top10" dxfId="0" priority="2" rank="5"/>
  </conditionalFormatting>
  <conditionalFormatting sqref="J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F0BF5-EBCD-4028-966A-C5F0DAE7447B}">
  <dimension ref="A3:I8"/>
  <sheetViews>
    <sheetView topLeftCell="C1" workbookViewId="0">
      <selection activeCell="L19" sqref="L19"/>
    </sheetView>
  </sheetViews>
  <sheetFormatPr defaultRowHeight="15"/>
  <cols>
    <col min="1" max="1" width="9.7109375" style="7" bestFit="1" customWidth="1"/>
    <col min="2" max="2" width="19.85546875" style="7" bestFit="1" customWidth="1"/>
    <col min="3" max="3" width="16.5703125" style="7" bestFit="1" customWidth="1"/>
    <col min="4" max="4" width="16.85546875" style="7" bestFit="1" customWidth="1"/>
    <col min="5" max="5" width="15.42578125" style="7" bestFit="1" customWidth="1"/>
    <col min="6" max="6" width="17" style="7" bestFit="1" customWidth="1"/>
    <col min="7" max="7" width="20.7109375" style="7" bestFit="1" customWidth="1"/>
    <col min="8" max="8" width="12.7109375" style="7" bestFit="1" customWidth="1"/>
    <col min="9" max="9" width="13.85546875" style="7" bestFit="1" customWidth="1"/>
    <col min="10" max="12" width="12.7109375" style="7" bestFit="1" customWidth="1"/>
    <col min="13" max="13" width="15.42578125" style="7" bestFit="1" customWidth="1"/>
    <col min="14" max="15" width="12.7109375" style="7" bestFit="1" customWidth="1"/>
    <col min="16" max="16" width="13.85546875" style="7" bestFit="1" customWidth="1"/>
    <col min="17" max="17" width="17" style="7" bestFit="1" customWidth="1"/>
    <col min="18" max="18" width="12.7109375" style="7" bestFit="1" customWidth="1"/>
    <col min="19" max="20" width="13.85546875" style="7" bestFit="1" customWidth="1"/>
    <col min="21" max="21" width="20.7109375" style="7" bestFit="1" customWidth="1"/>
    <col min="22" max="25" width="12.7109375" style="7" bestFit="1" customWidth="1"/>
    <col min="26" max="26" width="11" style="7" bestFit="1" customWidth="1"/>
    <col min="27" max="28" width="12.7109375" style="7" bestFit="1" customWidth="1"/>
    <col min="29" max="32" width="14.7109375" style="7" bestFit="1" customWidth="1"/>
    <col min="33" max="16384" width="9.140625" style="7"/>
  </cols>
  <sheetData>
    <row r="3" spans="1:9">
      <c r="B3" s="12" t="s">
        <v>3</v>
      </c>
    </row>
    <row r="4" spans="1:9">
      <c r="A4" s="12" t="s">
        <v>64</v>
      </c>
      <c r="B4" s="7" t="s">
        <v>12</v>
      </c>
      <c r="C4" s="7" t="s">
        <v>17</v>
      </c>
      <c r="D4" s="7" t="s">
        <v>36</v>
      </c>
      <c r="E4" s="7" t="s">
        <v>33</v>
      </c>
      <c r="F4" s="7" t="s">
        <v>14</v>
      </c>
      <c r="G4" s="7" t="s">
        <v>31</v>
      </c>
      <c r="H4" s="7" t="s">
        <v>25</v>
      </c>
      <c r="I4" s="7" t="s">
        <v>65</v>
      </c>
    </row>
    <row r="5" spans="1:9">
      <c r="A5" s="7" t="s">
        <v>66</v>
      </c>
      <c r="B5" s="9">
        <v>2179179</v>
      </c>
      <c r="C5" s="9">
        <v>531486</v>
      </c>
      <c r="D5" s="9">
        <v>820577</v>
      </c>
      <c r="E5" s="9">
        <v>1164912</v>
      </c>
      <c r="F5" s="9">
        <v>1063214</v>
      </c>
      <c r="G5" s="9">
        <v>334695</v>
      </c>
      <c r="H5" s="9">
        <v>405538</v>
      </c>
      <c r="I5" s="9">
        <v>6499601</v>
      </c>
    </row>
    <row r="6" spans="1:9">
      <c r="A6" s="7" t="s">
        <v>67</v>
      </c>
      <c r="B6" s="9">
        <v>646100</v>
      </c>
      <c r="C6" s="9">
        <v>490699</v>
      </c>
      <c r="D6" s="9">
        <v>342151</v>
      </c>
      <c r="E6" s="9">
        <v>369734</v>
      </c>
      <c r="F6" s="9">
        <v>927950</v>
      </c>
      <c r="G6" s="9">
        <v>315488</v>
      </c>
      <c r="H6" s="9">
        <v>94204</v>
      </c>
      <c r="I6" s="9">
        <v>3186326</v>
      </c>
    </row>
    <row r="7" spans="1:9">
      <c r="A7" s="7" t="s">
        <v>68</v>
      </c>
      <c r="B7" s="9">
        <v>1904459</v>
      </c>
      <c r="C7" s="9">
        <v>604996</v>
      </c>
      <c r="D7" s="9">
        <v>677537</v>
      </c>
      <c r="E7" s="9">
        <v>715547</v>
      </c>
      <c r="F7" s="9">
        <v>1198647</v>
      </c>
      <c r="G7" s="9">
        <v>374688</v>
      </c>
      <c r="H7" s="9">
        <v>503084</v>
      </c>
      <c r="I7" s="9">
        <v>5978958</v>
      </c>
    </row>
    <row r="8" spans="1:9">
      <c r="A8" s="7" t="s">
        <v>69</v>
      </c>
      <c r="B8" s="9">
        <v>2169612</v>
      </c>
      <c r="C8" s="9">
        <v>561117</v>
      </c>
      <c r="D8" s="9">
        <v>944990</v>
      </c>
      <c r="E8" s="9">
        <v>1129224</v>
      </c>
      <c r="F8" s="9">
        <v>1127587</v>
      </c>
      <c r="G8" s="9">
        <v>393914</v>
      </c>
      <c r="H8" s="9">
        <v>450096</v>
      </c>
      <c r="I8" s="9">
        <v>6776540</v>
      </c>
    </row>
  </sheetData>
  <sheetProtection algorithmName="SHA-512" hashValue="XsQJrpnYHBZcyOIzAWYxCWYCYdYYBMlDjNlnyL3nuFOBH4KtmsMVhJcqOWisZ+4H4cbwL1mgOkQmC6lmCpuhfw==" saltValue="Z5iREXLWE8PGZ/d80pzLAQ==" spinCount="100000" sheet="1" objects="1" scenarios="1"/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97483-6E6E-40A5-B41F-A8BC72FD0780}">
  <dimension ref="A3:H5"/>
  <sheetViews>
    <sheetView tabSelected="1" workbookViewId="0">
      <selection activeCell="G8" sqref="G8"/>
    </sheetView>
  </sheetViews>
  <sheetFormatPr defaultRowHeight="15"/>
  <cols>
    <col min="1" max="1" width="23.28515625" style="7" bestFit="1" customWidth="1"/>
    <col min="2" max="2" width="12" style="7" bestFit="1" customWidth="1"/>
    <col min="3" max="6" width="9.140625" style="7" bestFit="1" customWidth="1"/>
    <col min="7" max="7" width="10.140625" style="7" bestFit="1" customWidth="1"/>
    <col min="8" max="8" width="11.140625" style="7" bestFit="1" customWidth="1"/>
    <col min="9" max="9" width="15.7109375" style="7" bestFit="1" customWidth="1"/>
    <col min="10" max="10" width="18.7109375" style="7" bestFit="1" customWidth="1"/>
    <col min="11" max="11" width="16.140625" style="7" bestFit="1" customWidth="1"/>
    <col min="12" max="12" width="19" style="7" bestFit="1" customWidth="1"/>
    <col min="13" max="13" width="16" style="7" bestFit="1" customWidth="1"/>
    <col min="14" max="14" width="18.85546875" style="7" bestFit="1" customWidth="1"/>
    <col min="15" max="15" width="14" style="7" bestFit="1" customWidth="1"/>
    <col min="16" max="16" width="16.85546875" style="7" bestFit="1" customWidth="1"/>
    <col min="17" max="17" width="14.7109375" style="7" bestFit="1" customWidth="1"/>
    <col min="18" max="18" width="17.7109375" style="7" bestFit="1" customWidth="1"/>
    <col min="19" max="19" width="10.28515625" style="7" bestFit="1" customWidth="1"/>
    <col min="20" max="20" width="13.140625" style="7" bestFit="1" customWidth="1"/>
    <col min="21" max="21" width="13.85546875" style="7" bestFit="1" customWidth="1"/>
    <col min="22" max="22" width="16.7109375" style="7" bestFit="1" customWidth="1"/>
    <col min="23" max="23" width="15.85546875" style="7" bestFit="1" customWidth="1"/>
    <col min="24" max="24" width="18.85546875" style="7" bestFit="1" customWidth="1"/>
    <col min="25" max="25" width="14.85546875" style="7" bestFit="1" customWidth="1"/>
    <col min="26" max="26" width="17.7109375" style="7" bestFit="1" customWidth="1"/>
    <col min="27" max="27" width="15.42578125" style="7" bestFit="1" customWidth="1"/>
    <col min="28" max="28" width="18.42578125" style="7" bestFit="1" customWidth="1"/>
    <col min="29" max="29" width="14.85546875" style="7" bestFit="1" customWidth="1"/>
    <col min="30" max="30" width="17.85546875" style="7" bestFit="1" customWidth="1"/>
    <col min="31" max="31" width="12.42578125" style="7" bestFit="1" customWidth="1"/>
    <col min="32" max="32" width="15.28515625" style="7" bestFit="1" customWidth="1"/>
    <col min="33" max="33" width="13" style="7" bestFit="1" customWidth="1"/>
    <col min="34" max="34" width="16" style="7" bestFit="1" customWidth="1"/>
    <col min="35" max="35" width="13.140625" style="7" bestFit="1" customWidth="1"/>
    <col min="36" max="36" width="16.140625" style="7" bestFit="1" customWidth="1"/>
    <col min="37" max="37" width="13.42578125" style="7" bestFit="1" customWidth="1"/>
    <col min="38" max="38" width="16.42578125" style="7" bestFit="1" customWidth="1"/>
    <col min="39" max="39" width="13.5703125" style="7" bestFit="1" customWidth="1"/>
    <col min="40" max="40" width="16.42578125" style="7" bestFit="1" customWidth="1"/>
    <col min="41" max="41" width="13.28515625" style="7" bestFit="1" customWidth="1"/>
    <col min="42" max="42" width="16.28515625" style="7" bestFit="1" customWidth="1"/>
    <col min="43" max="43" width="14.5703125" style="7" bestFit="1" customWidth="1"/>
    <col min="44" max="44" width="17.5703125" style="7" bestFit="1" customWidth="1"/>
    <col min="45" max="45" width="14.140625" style="7" bestFit="1" customWidth="1"/>
    <col min="46" max="46" width="17" style="7" bestFit="1" customWidth="1"/>
    <col min="47" max="47" width="11.42578125" style="7" bestFit="1" customWidth="1"/>
    <col min="48" max="48" width="14.42578125" style="7" bestFit="1" customWidth="1"/>
    <col min="49" max="49" width="13.28515625" style="7" bestFit="1" customWidth="1"/>
    <col min="50" max="50" width="16.28515625" style="7" bestFit="1" customWidth="1"/>
    <col min="51" max="51" width="17.28515625" style="7" bestFit="1" customWidth="1"/>
    <col min="52" max="52" width="20.28515625" style="7" bestFit="1" customWidth="1"/>
    <col min="53" max="53" width="12" style="7" bestFit="1" customWidth="1"/>
    <col min="54" max="54" width="15" style="7" bestFit="1" customWidth="1"/>
    <col min="55" max="55" width="16" style="7" bestFit="1" customWidth="1"/>
    <col min="56" max="56" width="19" style="7" bestFit="1" customWidth="1"/>
    <col min="57" max="57" width="14.42578125" style="7" bestFit="1" customWidth="1"/>
    <col min="58" max="58" width="17.42578125" style="7" bestFit="1" customWidth="1"/>
    <col min="59" max="59" width="15.85546875" style="7" bestFit="1" customWidth="1"/>
    <col min="60" max="60" width="18.85546875" style="7" bestFit="1" customWidth="1"/>
    <col min="61" max="61" width="11.5703125" style="7" bestFit="1" customWidth="1"/>
    <col min="62" max="62" width="14.5703125" style="7" bestFit="1" customWidth="1"/>
    <col min="63" max="63" width="11.5703125" style="7" bestFit="1" customWidth="1"/>
    <col min="64" max="64" width="14.42578125" style="7" bestFit="1" customWidth="1"/>
    <col min="65" max="65" width="13.85546875" style="7" bestFit="1" customWidth="1"/>
    <col min="66" max="66" width="16.7109375" style="7" bestFit="1" customWidth="1"/>
    <col min="67" max="67" width="13.7109375" style="7" bestFit="1" customWidth="1"/>
    <col min="68" max="68" width="16.7109375" style="7" bestFit="1" customWidth="1"/>
    <col min="69" max="69" width="14" style="7" bestFit="1" customWidth="1"/>
    <col min="70" max="70" width="17" style="7" bestFit="1" customWidth="1"/>
    <col min="71" max="71" width="11.140625" style="7" bestFit="1" customWidth="1"/>
    <col min="72" max="16384" width="9.140625" style="7"/>
  </cols>
  <sheetData>
    <row r="3" spans="1:8">
      <c r="B3" s="12" t="s">
        <v>57</v>
      </c>
    </row>
    <row r="4" spans="1:8">
      <c r="B4" s="7" t="s">
        <v>63</v>
      </c>
      <c r="C4" s="7" t="s">
        <v>62</v>
      </c>
      <c r="D4" s="7" t="s">
        <v>58</v>
      </c>
      <c r="E4" s="7" t="s">
        <v>61</v>
      </c>
      <c r="F4" s="7" t="s">
        <v>60</v>
      </c>
      <c r="G4" s="7" t="s">
        <v>59</v>
      </c>
      <c r="H4" s="7" t="s">
        <v>65</v>
      </c>
    </row>
    <row r="5" spans="1:8">
      <c r="A5" s="7" t="s">
        <v>70</v>
      </c>
      <c r="B5" s="8">
        <v>3</v>
      </c>
      <c r="C5" s="8">
        <v>1</v>
      </c>
      <c r="D5" s="8">
        <v>4</v>
      </c>
      <c r="E5" s="8">
        <v>5</v>
      </c>
      <c r="F5" s="8">
        <v>8</v>
      </c>
      <c r="G5" s="8">
        <v>14</v>
      </c>
      <c r="H5" s="8">
        <v>35</v>
      </c>
    </row>
  </sheetData>
  <sheetProtection algorithmName="SHA-512" hashValue="i3yt+5DhRd/uFMC0h3a6wsU2Vxo2wOndNpp14hSQhYJsuWWt2Dl3R9U5LNm0cT4BVigNBI0qxX7ISqIdSXvI9Q==" saltValue="G3cQvysVukjPAKRV/RU/vg==" spinCount="100000" sheet="1" objects="1" scenarios="1"/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AF9F4-D646-4253-9BA1-F408EA9CCBB4}">
  <dimension ref="A1:B8"/>
  <sheetViews>
    <sheetView workbookViewId="0">
      <selection activeCell="B3" sqref="B3"/>
    </sheetView>
  </sheetViews>
  <sheetFormatPr defaultRowHeight="15"/>
  <cols>
    <col min="1" max="1" width="16.42578125" customWidth="1"/>
    <col min="2" max="2" width="78.5703125" customWidth="1"/>
  </cols>
  <sheetData>
    <row r="1" spans="1:2">
      <c r="A1" s="13" t="s">
        <v>71</v>
      </c>
      <c r="B1" s="13" t="s">
        <v>72</v>
      </c>
    </row>
    <row r="2" spans="1:2">
      <c r="A2" s="7" t="s">
        <v>73</v>
      </c>
      <c r="B2" s="7" t="s">
        <v>74</v>
      </c>
    </row>
    <row r="3" spans="1:2" ht="19.5" customHeight="1">
      <c r="A3" s="7" t="s">
        <v>75</v>
      </c>
      <c r="B3" s="14" t="s">
        <v>76</v>
      </c>
    </row>
    <row r="4" spans="1:2">
      <c r="A4" s="7" t="s">
        <v>77</v>
      </c>
      <c r="B4" s="7" t="s">
        <v>78</v>
      </c>
    </row>
    <row r="5" spans="1:2">
      <c r="A5" s="7" t="s">
        <v>79</v>
      </c>
      <c r="B5" s="7" t="s">
        <v>80</v>
      </c>
    </row>
    <row r="6" spans="1:2">
      <c r="A6" s="7" t="s">
        <v>81</v>
      </c>
      <c r="B6" s="15">
        <v>45987</v>
      </c>
    </row>
    <row r="7" spans="1:2">
      <c r="A7" s="7" t="s">
        <v>82</v>
      </c>
      <c r="B7" s="16" t="s">
        <v>83</v>
      </c>
    </row>
    <row r="8" spans="1:2">
      <c r="A8" s="7" t="s">
        <v>84</v>
      </c>
      <c r="B8" s="14" t="s">
        <v>85</v>
      </c>
    </row>
  </sheetData>
  <sheetProtection algorithmName="SHA-512" hashValue="/+pzX1nG0sMgMmPzb9cvKzxeIDnwO4Qii8iNJgRDFEHIMidG0+VO9G9p2+8jBSM3JAqMFZvlvtgW9NaWAuVlJA==" saltValue="p1GvjXbGnbkEZ+JiIktBJQ==" spinCount="100000" sheet="1" objects="1" scenarios="1"/>
  <hyperlinks>
    <hyperlink ref="B7" r:id="rId1" xr:uid="{4A29D2E2-2993-4DF7-9D66-0A36AA85B41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2025-11-26T03:11:37Z</dcterms:created>
  <dcterms:modified xsi:type="dcterms:W3CDTF">2025-12-07T10:33:05Z</dcterms:modified>
  <cp:category/>
  <cp:contentStatus/>
</cp:coreProperties>
</file>